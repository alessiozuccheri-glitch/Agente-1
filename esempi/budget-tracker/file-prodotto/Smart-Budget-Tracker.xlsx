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📖 Read Me" sheetId="1" state="visible" r:id="rId1"/>
    <sheet name="⚙️ Setup" sheetId="2" state="visible" r:id="rId2"/>
    <sheet name="📊 Dashboard" sheetId="3" state="visible" r:id="rId3"/>
    <sheet name="Gennaio" sheetId="4" state="visible" r:id="rId4"/>
    <sheet name="Febbraio" sheetId="5" state="visible" r:id="rId5"/>
    <sheet name="Marzo" sheetId="6" state="visible" r:id="rId6"/>
    <sheet name="Aprile" sheetId="7" state="visible" r:id="rId7"/>
    <sheet name="Maggio" sheetId="8" state="visible" r:id="rId8"/>
    <sheet name="Giugno" sheetId="9" state="visible" r:id="rId9"/>
    <sheet name="Luglio" sheetId="10" state="visible" r:id="rId10"/>
    <sheet name="Agosto" sheetId="11" state="visible" r:id="rId11"/>
    <sheet name="Settembre" sheetId="12" state="visible" r:id="rId12"/>
    <sheet name="Ottobre" sheetId="13" state="visible" r:id="rId13"/>
    <sheet name="Novembre" sheetId="14" state="visible" r:id="rId14"/>
    <sheet name="Dicembre" sheetId="15" state="visible" r:id="rId15"/>
    <sheet name="🎯 Obiettivi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0.0%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color rgb="001F2A44"/>
    </font>
    <font>
      <b val="1"/>
      <color rgb="002BB3A3"/>
      <sz val="13"/>
    </font>
    <font>
      <i val="1"/>
      <color rgb="006B7280"/>
    </font>
    <font>
      <name val="Calibri"/>
      <b val="1"/>
      <color rgb="00FFFFFF"/>
      <sz val="16"/>
    </font>
    <font>
      <b val="1"/>
      <color rgb="001F2A44"/>
    </font>
    <font>
      <b val="1"/>
      <color rgb="002BB3A3"/>
    </font>
    <font>
      <b val="1"/>
      <color rgb="00FFFFFF"/>
      <sz val="11"/>
    </font>
    <font>
      <b val="1"/>
    </font>
    <font>
      <name val="Calibri"/>
      <b val="1"/>
      <color rgb="00FFFFFF"/>
      <sz val="18"/>
    </font>
  </fonts>
  <fills count="5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2BB3A3"/>
      </patternFill>
    </fill>
    <fill>
      <patternFill patternType="solid">
        <fgColor rgb="00EAF6F4"/>
      </patternFill>
    </fill>
  </fills>
  <borders count="5">
    <border>
      <left/>
      <right/>
      <top/>
      <bottom/>
      <diagonal/>
    </border>
    <border>
      <left style="thin">
        <color rgb="00D5DBE3"/>
      </left>
      <right style="thin">
        <color rgb="00D5DBE3"/>
      </right>
      <top style="thin">
        <color rgb="00D5DBE3"/>
      </top>
      <bottom style="thin">
        <color rgb="00D5DBE3"/>
      </bottom>
    </border>
    <border>
      <left/>
      <right/>
      <top style="thin">
        <color rgb="00D5DBE3"/>
      </top>
      <bottom/>
      <diagonal/>
    </border>
    <border>
      <left/>
      <right style="thin">
        <color rgb="00D5DBE3"/>
      </right>
      <top style="thin">
        <color rgb="00D5DBE3"/>
      </top>
      <bottom/>
      <diagonal/>
    </border>
    <border>
      <left/>
      <right style="thin">
        <color rgb="00D5DBE3"/>
      </right>
      <top style="thin">
        <color rgb="00D5DBE3"/>
      </top>
      <bottom style="thin">
        <color rgb="00D5DBE3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5" fillId="2" borderId="0" applyAlignment="1" pivotButton="0" quotePrefix="0" xfId="0">
      <alignment horizontal="left" vertical="center" indent="1"/>
    </xf>
    <xf numFmtId="0" fontId="6" fillId="0" borderId="0" applyAlignment="1" pivotButton="0" quotePrefix="0" xfId="0">
      <alignment vertical="center" indent="1"/>
    </xf>
    <xf numFmtId="0" fontId="7" fillId="0" borderId="1" applyAlignment="1" pivotButton="0" quotePrefix="0" xfId="0">
      <alignment horizontal="center"/>
    </xf>
    <xf numFmtId="0" fontId="8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indent="1"/>
    </xf>
    <xf numFmtId="164" fontId="0" fillId="0" borderId="1" applyAlignment="1" pivotButton="0" quotePrefix="0" xfId="0">
      <alignment horizontal="right" indent="1"/>
    </xf>
    <xf numFmtId="164" fontId="6" fillId="4" borderId="1" pivotButton="0" quotePrefix="0" xfId="0"/>
    <xf numFmtId="0" fontId="10" fillId="2" borderId="0" applyAlignment="1" pivotButton="0" quotePrefix="0" xfId="0">
      <alignment horizontal="left" vertical="center" indent="1"/>
    </xf>
    <xf numFmtId="0" fontId="0" fillId="0" borderId="4" pivotButton="0" quotePrefix="0" xfId="0"/>
    <xf numFmtId="164" fontId="2" fillId="0" borderId="1" applyAlignment="1" pivotButton="0" quotePrefix="0" xfId="0">
      <alignment horizontal="right" indent="1"/>
    </xf>
    <xf numFmtId="0" fontId="6" fillId="0" borderId="1" applyAlignment="1" pivotButton="0" quotePrefix="0" xfId="0">
      <alignment vertical="center" indent="1"/>
    </xf>
    <xf numFmtId="164" fontId="6" fillId="4" borderId="1" applyAlignment="1" pivotButton="0" quotePrefix="0" xfId="0">
      <alignment horizontal="right" indent="1"/>
    </xf>
    <xf numFmtId="165" fontId="6" fillId="0" borderId="1" applyAlignment="1" pivotButton="0" quotePrefix="0" xfId="0">
      <alignment horizontal="right" indent="1"/>
    </xf>
    <xf numFmtId="164" fontId="9" fillId="4" borderId="1" pivotButton="0" quotePrefix="0" xfId="0"/>
    <xf numFmtId="165" fontId="0" fillId="0" borderId="1" applyAlignment="1" pivotButton="0" quotePrefix="0" xfId="0">
      <alignment horizontal="center"/>
    </xf>
  </cellXfs>
  <cellStyles count="1">
    <cellStyle name="Normal" xfId="0" builtinId="0" hidden="0"/>
  </cellStyles>
  <dxfs count="2">
    <dxf>
      <font>
        <b val="1"/>
        <color rgb="00C0392B"/>
      </font>
    </dxf>
    <dxf>
      <font>
        <color rgb="001B7F5C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Entrate vs Spese (mese)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Dashboard'!C4</f>
            </strRef>
          </tx>
          <spPr>
            <a:ln>
              <a:prstDash val="solid"/>
            </a:ln>
          </spPr>
          <cat>
            <numRef>
              <f>'📊 Dashboard'!$B$5:$B$16</f>
            </numRef>
          </cat>
          <val>
            <numRef>
              <f>'📊 Dashboard'!$C$5:$C$16</f>
            </numRef>
          </val>
        </ser>
        <ser>
          <idx val="1"/>
          <order val="1"/>
          <tx>
            <strRef>
              <f>'📊 Dashboard'!D4</f>
            </strRef>
          </tx>
          <spPr>
            <a:ln>
              <a:prstDash val="solid"/>
            </a:ln>
          </spPr>
          <cat>
            <numRef>
              <f>'📊 Dashboard'!$B$5:$B$16</f>
            </numRef>
          </cat>
          <val>
            <numRef>
              <f>'📊 Dashboard'!$D$5:$D$16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.00 &quot;€&quot;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92" customWidth="1" min="2" max="2"/>
  </cols>
  <sheetData>
    <row r="2" ht="34" customHeight="1">
      <c r="B2" s="1" t="inlineStr">
        <is>
          <t>💰  SMART BUDGET TRACKER</t>
        </is>
      </c>
    </row>
    <row r="4">
      <c r="B4" s="2" t="inlineStr"/>
    </row>
    <row r="5">
      <c r="B5" s="2" t="inlineStr">
        <is>
          <t>Benvenuto/a! Questo file ti aiuta a controllare entrate, spese e risparmi in pochi minuti al mese.</t>
        </is>
      </c>
    </row>
    <row r="6">
      <c r="B6" s="2" t="inlineStr"/>
    </row>
    <row r="7">
      <c r="B7" s="3" t="inlineStr">
        <is>
          <t>COME INIZIARE (3 passi)</t>
        </is>
      </c>
    </row>
    <row r="8">
      <c r="B8" s="2" t="inlineStr">
        <is>
          <t>1.  Apri il foglio « ⚙️ Setup » e inserisci le tue categorie e gli obiettivi di budget mensili.</t>
        </is>
      </c>
    </row>
    <row r="9">
      <c r="B9" s="2" t="inlineStr">
        <is>
          <t>2.  Ogni mese apri il foglio del mese (es. « Gennaio ») e registra entrate e spese reali.</t>
        </is>
      </c>
    </row>
    <row r="10">
      <c r="B10" s="2" t="inlineStr">
        <is>
          <t>3.  Controlla il foglio « 📊 Dashboard »: i totali e i grafici si aggiornano da soli.</t>
        </is>
      </c>
    </row>
    <row r="11">
      <c r="B11" s="2" t="inlineStr"/>
    </row>
    <row r="12">
      <c r="B12" s="3" t="inlineStr">
        <is>
          <t>COSA C'È DENTRO</t>
        </is>
      </c>
    </row>
    <row r="13">
      <c r="B13" s="2" t="inlineStr">
        <is>
          <t>•  Dashboard annuale automatica con grafico entrate vs spese</t>
        </is>
      </c>
    </row>
    <row r="14">
      <c r="B14" s="2" t="inlineStr">
        <is>
          <t>•  12 fogli mensili con Budget vs Speso e differenza</t>
        </is>
      </c>
    </row>
    <row r="15">
      <c r="B15" s="2" t="inlineStr">
        <is>
          <t>•  Tasso di risparmio calcolato automaticamente</t>
        </is>
      </c>
    </row>
    <row r="16">
      <c r="B16" s="2" t="inlineStr">
        <is>
          <t>•  Tracker obiettivi di risparmio</t>
        </is>
      </c>
    </row>
    <row r="17">
      <c r="B17" s="2" t="inlineStr">
        <is>
          <t>•  Categorie e menu a tendina già pronti (personalizzabili)</t>
        </is>
      </c>
    </row>
    <row r="18">
      <c r="B18" s="2" t="inlineStr"/>
    </row>
    <row r="19">
      <c r="B19" s="3" t="inlineStr">
        <is>
          <t>SUGGERIMENTI</t>
        </is>
      </c>
    </row>
    <row r="20">
      <c r="B20" s="2" t="inlineStr">
        <is>
          <t>•  Le celle colorate di verde/rosso ti dicono a colpo d'occhio se sei dentro o fuori budget.</t>
        </is>
      </c>
    </row>
    <row r="21">
      <c r="B21" s="2" t="inlineStr">
        <is>
          <t>•  Funziona con Excel e con Google Sheets (File ▸ Importa).</t>
        </is>
      </c>
    </row>
    <row r="22">
      <c r="B22" s="2" t="inlineStr">
        <is>
          <t>•  Non modificare le celle con le formule (sfondo chiaro): si aggiornano da sole.</t>
        </is>
      </c>
    </row>
    <row r="23">
      <c r="B23" s="2" t="inlineStr"/>
    </row>
    <row r="24">
      <c r="B24" s="4" t="inlineStr">
        <is>
          <t>Buon risparmio! — supporto: rispondi alla mail dell'ordine.</t>
        </is>
      </c>
    </row>
  </sheetData>
  <mergeCells count="1">
    <mergeCell ref="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8" customWidth="1" min="3" max="3"/>
    <col width="30" customWidth="1" min="5" max="5"/>
  </cols>
  <sheetData>
    <row r="2">
      <c r="B2" s="5" t="inlineStr">
        <is>
          <t>⚙️  Setup — personalizza qui</t>
        </is>
      </c>
    </row>
    <row r="4">
      <c r="B4" s="6" t="inlineStr">
        <is>
          <t>Anno di riferimento</t>
        </is>
      </c>
      <c r="C4" s="7" t="n">
        <v>2026</v>
      </c>
    </row>
    <row r="6">
      <c r="B6" s="8" t="inlineStr">
        <is>
          <t>Categorie di SPESA</t>
        </is>
      </c>
      <c r="C6" s="8" t="inlineStr">
        <is>
          <t>Budget mensile (€)</t>
        </is>
      </c>
      <c r="E6" s="8" t="inlineStr">
        <is>
          <t>Fonti di ENTRATA</t>
        </is>
      </c>
    </row>
    <row r="7">
      <c r="B7" s="9" t="inlineStr">
        <is>
          <t>Affitto/Mutuo</t>
        </is>
      </c>
      <c r="C7" s="10" t="n">
        <v>0</v>
      </c>
      <c r="E7" s="9" t="inlineStr">
        <is>
          <t>Stipendio</t>
        </is>
      </c>
    </row>
    <row r="8">
      <c r="B8" s="9" t="inlineStr">
        <is>
          <t>Bollette</t>
        </is>
      </c>
      <c r="C8" s="10" t="n">
        <v>0</v>
      </c>
      <c r="E8" s="9" t="inlineStr">
        <is>
          <t>Entrate extra</t>
        </is>
      </c>
    </row>
    <row r="9">
      <c r="B9" s="9" t="inlineStr">
        <is>
          <t>Spesa alimentare</t>
        </is>
      </c>
      <c r="C9" s="10" t="n">
        <v>0</v>
      </c>
      <c r="E9" s="9" t="inlineStr">
        <is>
          <t>Rimborsi</t>
        </is>
      </c>
    </row>
    <row r="10">
      <c r="B10" s="9" t="inlineStr">
        <is>
          <t>Trasporti</t>
        </is>
      </c>
      <c r="C10" s="10" t="n">
        <v>0</v>
      </c>
      <c r="E10" s="9" t="inlineStr">
        <is>
          <t>Altro</t>
        </is>
      </c>
    </row>
    <row r="11">
      <c r="B11" s="9" t="inlineStr">
        <is>
          <t>Salute</t>
        </is>
      </c>
      <c r="C11" s="10" t="n">
        <v>0</v>
      </c>
    </row>
    <row r="12">
      <c r="B12" s="9" t="inlineStr">
        <is>
          <t>Assicurazioni</t>
        </is>
      </c>
      <c r="C12" s="10" t="n">
        <v>0</v>
      </c>
    </row>
    <row r="13">
      <c r="B13" s="9" t="inlineStr">
        <is>
          <t>Abbonamenti</t>
        </is>
      </c>
      <c r="C13" s="10" t="n">
        <v>0</v>
      </c>
    </row>
    <row r="14">
      <c r="B14" s="9" t="inlineStr">
        <is>
          <t>Ristoranti/Bar</t>
        </is>
      </c>
      <c r="C14" s="10" t="n">
        <v>0</v>
      </c>
    </row>
    <row r="15">
      <c r="B15" s="9" t="inlineStr">
        <is>
          <t>Shopping</t>
        </is>
      </c>
      <c r="C15" s="10" t="n">
        <v>0</v>
      </c>
    </row>
    <row r="16">
      <c r="B16" s="9" t="inlineStr">
        <is>
          <t>Tempo libero</t>
        </is>
      </c>
      <c r="C16" s="10" t="n">
        <v>0</v>
      </c>
    </row>
    <row r="17">
      <c r="B17" s="9" t="inlineStr">
        <is>
          <t>Risparmio/Investimenti</t>
        </is>
      </c>
      <c r="C17" s="10" t="n">
        <v>0</v>
      </c>
    </row>
    <row r="18">
      <c r="B18" s="9" t="inlineStr">
        <is>
          <t>Altro</t>
        </is>
      </c>
      <c r="C18" s="10" t="n">
        <v>0</v>
      </c>
    </row>
    <row r="19">
      <c r="B19" s="6" t="inlineStr">
        <is>
          <t>TOTALE budget/mese</t>
        </is>
      </c>
      <c r="C19" s="11">
        <f>SUM(C7:C18)</f>
        <v/>
      </c>
    </row>
  </sheetData>
  <mergeCells count="1">
    <mergeCell ref="B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1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2">
      <c r="B2" s="12" t="inlineStr">
        <is>
          <t>📊  Dashboard annuale</t>
        </is>
      </c>
    </row>
    <row r="4">
      <c r="B4" s="8" t="inlineStr">
        <is>
          <t>Mese</t>
        </is>
      </c>
      <c r="C4" s="8" t="inlineStr">
        <is>
          <t>Entrate</t>
        </is>
      </c>
      <c r="D4" s="8" t="inlineStr">
        <is>
          <t>Spese</t>
        </is>
      </c>
      <c r="E4" s="8" t="inlineStr">
        <is>
          <t>Risparmio</t>
        </is>
      </c>
    </row>
    <row r="5">
      <c r="B5" s="9" t="inlineStr">
        <is>
          <t>Gennaio</t>
        </is>
      </c>
      <c r="C5" s="10">
        <f>'Gennaio'!D9</f>
        <v/>
      </c>
      <c r="D5" s="10">
        <f>'Gennaio'!D23</f>
        <v/>
      </c>
      <c r="E5" s="10">
        <f>C5-D5</f>
        <v/>
      </c>
    </row>
    <row r="6">
      <c r="B6" s="9" t="inlineStr">
        <is>
          <t>Febbraio</t>
        </is>
      </c>
      <c r="C6" s="10">
        <f>'Febbraio'!D9</f>
        <v/>
      </c>
      <c r="D6" s="10">
        <f>'Febbraio'!D23</f>
        <v/>
      </c>
      <c r="E6" s="10">
        <f>C6-D6</f>
        <v/>
      </c>
    </row>
    <row r="7">
      <c r="B7" s="9" t="inlineStr">
        <is>
          <t>Marzo</t>
        </is>
      </c>
      <c r="C7" s="10">
        <f>'Marzo'!D9</f>
        <v/>
      </c>
      <c r="D7" s="10">
        <f>'Marzo'!D23</f>
        <v/>
      </c>
      <c r="E7" s="10">
        <f>C7-D7</f>
        <v/>
      </c>
    </row>
    <row r="8">
      <c r="B8" s="9" t="inlineStr">
        <is>
          <t>Aprile</t>
        </is>
      </c>
      <c r="C8" s="10">
        <f>'Aprile'!D9</f>
        <v/>
      </c>
      <c r="D8" s="10">
        <f>'Aprile'!D23</f>
        <v/>
      </c>
      <c r="E8" s="10">
        <f>C8-D8</f>
        <v/>
      </c>
    </row>
    <row r="9">
      <c r="B9" s="9" t="inlineStr">
        <is>
          <t>Maggio</t>
        </is>
      </c>
      <c r="C9" s="10">
        <f>'Maggio'!D9</f>
        <v/>
      </c>
      <c r="D9" s="10">
        <f>'Maggio'!D23</f>
        <v/>
      </c>
      <c r="E9" s="10">
        <f>C9-D9</f>
        <v/>
      </c>
    </row>
    <row r="10">
      <c r="B10" s="9" t="inlineStr">
        <is>
          <t>Giugno</t>
        </is>
      </c>
      <c r="C10" s="10">
        <f>'Giugno'!D9</f>
        <v/>
      </c>
      <c r="D10" s="10">
        <f>'Giugno'!D23</f>
        <v/>
      </c>
      <c r="E10" s="10">
        <f>C10-D10</f>
        <v/>
      </c>
    </row>
    <row r="11">
      <c r="B11" s="9" t="inlineStr">
        <is>
          <t>Luglio</t>
        </is>
      </c>
      <c r="C11" s="10">
        <f>'Luglio'!D9</f>
        <v/>
      </c>
      <c r="D11" s="10">
        <f>'Luglio'!D23</f>
        <v/>
      </c>
      <c r="E11" s="10">
        <f>C11-D11</f>
        <v/>
      </c>
    </row>
    <row r="12">
      <c r="B12" s="9" t="inlineStr">
        <is>
          <t>Agosto</t>
        </is>
      </c>
      <c r="C12" s="10">
        <f>'Agosto'!D9</f>
        <v/>
      </c>
      <c r="D12" s="10">
        <f>'Agosto'!D23</f>
        <v/>
      </c>
      <c r="E12" s="10">
        <f>C12-D12</f>
        <v/>
      </c>
    </row>
    <row r="13">
      <c r="B13" s="9" t="inlineStr">
        <is>
          <t>Settembre</t>
        </is>
      </c>
      <c r="C13" s="10">
        <f>'Settembre'!D9</f>
        <v/>
      </c>
      <c r="D13" s="10">
        <f>'Settembre'!D23</f>
        <v/>
      </c>
      <c r="E13" s="10">
        <f>C13-D13</f>
        <v/>
      </c>
    </row>
    <row r="14">
      <c r="B14" s="9" t="inlineStr">
        <is>
          <t>Ottobre</t>
        </is>
      </c>
      <c r="C14" s="10">
        <f>'Ottobre'!D9</f>
        <v/>
      </c>
      <c r="D14" s="10">
        <f>'Ottobre'!D23</f>
        <v/>
      </c>
      <c r="E14" s="10">
        <f>C14-D14</f>
        <v/>
      </c>
    </row>
    <row r="15">
      <c r="B15" s="9" t="inlineStr">
        <is>
          <t>Novembre</t>
        </is>
      </c>
      <c r="C15" s="10">
        <f>'Novembre'!D9</f>
        <v/>
      </c>
      <c r="D15" s="10">
        <f>'Novembre'!D23</f>
        <v/>
      </c>
      <c r="E15" s="10">
        <f>C15-D15</f>
        <v/>
      </c>
    </row>
    <row r="16">
      <c r="B16" s="9" t="inlineStr">
        <is>
          <t>Dicembre</t>
        </is>
      </c>
      <c r="C16" s="10">
        <f>'Dicembre'!D9</f>
        <v/>
      </c>
      <c r="D16" s="10">
        <f>'Dicembre'!D23</f>
        <v/>
      </c>
      <c r="E16" s="10">
        <f>C16-D16</f>
        <v/>
      </c>
    </row>
    <row r="17">
      <c r="B17" s="6" t="inlineStr">
        <is>
          <t>TOTALE ANNO</t>
        </is>
      </c>
      <c r="C17" s="11">
        <f>SUM(C5:C16)</f>
        <v/>
      </c>
      <c r="D17" s="11">
        <f>SUM(D5:D16)</f>
        <v/>
      </c>
      <c r="E17" s="11">
        <f>SUM(E5:E16)</f>
        <v/>
      </c>
    </row>
  </sheetData>
  <mergeCells count="1">
    <mergeCell ref="B2:E2"/>
  </mergeCells>
  <conditionalFormatting sqref="E5:E16">
    <cfRule type="dataBar" priority="1">
      <dataBar>
        <cfvo type="min"/>
        <cfvo type="max"/>
        <color rgb="002BB3A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H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16" customWidth="1" min="3" max="3"/>
    <col width="16" customWidth="1" min="4" max="4"/>
    <col width="16" customWidth="1" min="5" max="5"/>
    <col width="4" customWidth="1" min="6" max="6"/>
    <col width="22" customWidth="1" min="7" max="7"/>
    <col width="16" customWidth="1" min="8" max="8"/>
  </cols>
  <sheetData>
    <row r="2">
      <c r="B2" s="5" t="inlineStr">
        <is>
          <t xml:space="preserve">  Gennaio</t>
        </is>
      </c>
    </row>
    <row r="4">
      <c r="B4" s="8" t="inlineStr">
        <is>
          <t>ENTRATE</t>
        </is>
      </c>
      <c r="C4" s="8" t="inlineStr">
        <is>
          <t>Pianificato</t>
        </is>
      </c>
      <c r="D4" s="8" t="inlineStr">
        <is>
          <t>Effettivo</t>
        </is>
      </c>
      <c r="G4" s="8" t="inlineStr">
        <is>
          <t>RIEPILOGO MESE</t>
        </is>
      </c>
      <c r="H4" s="13" t="n"/>
    </row>
    <row r="5">
      <c r="B5" s="9" t="inlineStr">
        <is>
          <t>Stipendio</t>
        </is>
      </c>
      <c r="C5" s="10" t="n">
        <v>0</v>
      </c>
      <c r="D5" s="10" t="n">
        <v>0</v>
      </c>
      <c r="G5" s="9" t="inlineStr">
        <is>
          <t>Entrate</t>
        </is>
      </c>
      <c r="H5" s="14">
        <f>D9</f>
        <v/>
      </c>
    </row>
    <row r="6">
      <c r="B6" s="9" t="inlineStr">
        <is>
          <t>Entrate extra</t>
        </is>
      </c>
      <c r="C6" s="10" t="n">
        <v>0</v>
      </c>
      <c r="D6" s="10" t="n">
        <v>0</v>
      </c>
      <c r="G6" s="9" t="inlineStr">
        <is>
          <t>Spese</t>
        </is>
      </c>
      <c r="H6" s="14">
        <f>D23</f>
        <v/>
      </c>
    </row>
    <row r="7">
      <c r="B7" s="9" t="inlineStr">
        <is>
          <t>Rimborsi</t>
        </is>
      </c>
      <c r="C7" s="10" t="n">
        <v>0</v>
      </c>
      <c r="D7" s="10" t="n">
        <v>0</v>
      </c>
      <c r="G7" s="15" t="inlineStr">
        <is>
          <t>Risparmio netto</t>
        </is>
      </c>
      <c r="H7" s="16">
        <f>D9-D23</f>
        <v/>
      </c>
    </row>
    <row r="8">
      <c r="B8" s="9" t="inlineStr">
        <is>
          <t>Altro</t>
        </is>
      </c>
      <c r="C8" s="10" t="n">
        <v>0</v>
      </c>
      <c r="D8" s="10" t="n">
        <v>0</v>
      </c>
      <c r="G8" s="15" t="inlineStr">
        <is>
          <t>Tasso di risparmio</t>
        </is>
      </c>
      <c r="H8" s="17">
        <f>IF(D9=0,0,(D9-D23)/D9)</f>
        <v/>
      </c>
    </row>
    <row r="9">
      <c r="B9" s="6" t="inlineStr">
        <is>
          <t>Totale entrate</t>
        </is>
      </c>
      <c r="C9" s="18">
        <f>SUM(C5:C8)</f>
        <v/>
      </c>
      <c r="D9" s="18">
        <f>SUM(D5:D8)</f>
        <v/>
      </c>
    </row>
    <row r="10">
      <c r="B10" s="8" t="inlineStr">
        <is>
          <t>SPESE</t>
        </is>
      </c>
      <c r="C10" s="8" t="inlineStr">
        <is>
          <t>Budget</t>
        </is>
      </c>
      <c r="D10" s="8" t="inlineStr">
        <is>
          <t>Speso</t>
        </is>
      </c>
      <c r="E10" s="8" t="inlineStr">
        <is>
          <t>Differenza</t>
        </is>
      </c>
    </row>
    <row r="11">
      <c r="B11" s="9" t="inlineStr">
        <is>
          <t>Affitto/Mutuo</t>
        </is>
      </c>
      <c r="C11" s="10">
        <f>Setup!C7</f>
        <v/>
      </c>
      <c r="D11" s="10" t="n">
        <v>0</v>
      </c>
      <c r="E11" s="10">
        <f>C11-D11</f>
        <v/>
      </c>
    </row>
    <row r="12">
      <c r="B12" s="9" t="inlineStr">
        <is>
          <t>Bollette</t>
        </is>
      </c>
      <c r="C12" s="10">
        <f>Setup!C8</f>
        <v/>
      </c>
      <c r="D12" s="10" t="n">
        <v>0</v>
      </c>
      <c r="E12" s="10">
        <f>C12-D12</f>
        <v/>
      </c>
    </row>
    <row r="13">
      <c r="B13" s="9" t="inlineStr">
        <is>
          <t>Spesa alimentare</t>
        </is>
      </c>
      <c r="C13" s="10">
        <f>Setup!C9</f>
        <v/>
      </c>
      <c r="D13" s="10" t="n">
        <v>0</v>
      </c>
      <c r="E13" s="10">
        <f>C13-D13</f>
        <v/>
      </c>
    </row>
    <row r="14">
      <c r="B14" s="9" t="inlineStr">
        <is>
          <t>Trasporti</t>
        </is>
      </c>
      <c r="C14" s="10">
        <f>Setup!C10</f>
        <v/>
      </c>
      <c r="D14" s="10" t="n">
        <v>0</v>
      </c>
      <c r="E14" s="10">
        <f>C14-D14</f>
        <v/>
      </c>
    </row>
    <row r="15">
      <c r="B15" s="9" t="inlineStr">
        <is>
          <t>Salute</t>
        </is>
      </c>
      <c r="C15" s="10">
        <f>Setup!C11</f>
        <v/>
      </c>
      <c r="D15" s="10" t="n">
        <v>0</v>
      </c>
      <c r="E15" s="10">
        <f>C15-D15</f>
        <v/>
      </c>
    </row>
    <row r="16">
      <c r="B16" s="9" t="inlineStr">
        <is>
          <t>Assicurazioni</t>
        </is>
      </c>
      <c r="C16" s="10">
        <f>Setup!C12</f>
        <v/>
      </c>
      <c r="D16" s="10" t="n">
        <v>0</v>
      </c>
      <c r="E16" s="10">
        <f>C16-D16</f>
        <v/>
      </c>
    </row>
    <row r="17">
      <c r="B17" s="9" t="inlineStr">
        <is>
          <t>Abbonamenti</t>
        </is>
      </c>
      <c r="C17" s="10">
        <f>Setup!C13</f>
        <v/>
      </c>
      <c r="D17" s="10" t="n">
        <v>0</v>
      </c>
      <c r="E17" s="10">
        <f>C17-D17</f>
        <v/>
      </c>
    </row>
    <row r="18">
      <c r="B18" s="9" t="inlineStr">
        <is>
          <t>Ristoranti/Bar</t>
        </is>
      </c>
      <c r="C18" s="10">
        <f>Setup!C14</f>
        <v/>
      </c>
      <c r="D18" s="10" t="n">
        <v>0</v>
      </c>
      <c r="E18" s="10">
        <f>C18-D18</f>
        <v/>
      </c>
    </row>
    <row r="19">
      <c r="B19" s="9" t="inlineStr">
        <is>
          <t>Shopping</t>
        </is>
      </c>
      <c r="C19" s="10">
        <f>Setup!C15</f>
        <v/>
      </c>
      <c r="D19" s="10" t="n">
        <v>0</v>
      </c>
      <c r="E19" s="10">
        <f>C19-D19</f>
        <v/>
      </c>
    </row>
    <row r="20">
      <c r="B20" s="9" t="inlineStr">
        <is>
          <t>Tempo libero</t>
        </is>
      </c>
      <c r="C20" s="10">
        <f>Setup!C16</f>
        <v/>
      </c>
      <c r="D20" s="10" t="n">
        <v>0</v>
      </c>
      <c r="E20" s="10">
        <f>C20-D20</f>
        <v/>
      </c>
    </row>
    <row r="21">
      <c r="B21" s="9" t="inlineStr">
        <is>
          <t>Risparmio/Investimenti</t>
        </is>
      </c>
      <c r="C21" s="10">
        <f>Setup!C17</f>
        <v/>
      </c>
      <c r="D21" s="10" t="n">
        <v>0</v>
      </c>
      <c r="E21" s="10">
        <f>C21-D21</f>
        <v/>
      </c>
    </row>
    <row r="22">
      <c r="B22" s="9" t="inlineStr">
        <is>
          <t>Altro</t>
        </is>
      </c>
      <c r="C22" s="10">
        <f>Setup!C18</f>
        <v/>
      </c>
      <c r="D22" s="10" t="n">
        <v>0</v>
      </c>
      <c r="E22" s="10">
        <f>C22-D22</f>
        <v/>
      </c>
    </row>
    <row r="23">
      <c r="B23" s="6" t="inlineStr">
        <is>
          <t>Totale spese</t>
        </is>
      </c>
      <c r="C23" s="18">
        <f>SUM(C11:C22)</f>
        <v/>
      </c>
      <c r="D23" s="18">
        <f>SUM(D11:D22)</f>
        <v/>
      </c>
      <c r="E23" s="18">
        <f>SUM(E11:E22)</f>
        <v/>
      </c>
    </row>
  </sheetData>
  <mergeCells count="2">
    <mergeCell ref="G4:H4"/>
    <mergeCell ref="B2:E2"/>
  </mergeCells>
  <conditionalFormatting sqref="E11:E22">
    <cfRule type="cellIs" priority="1" operator="lessThan" dxfId="0">
      <formula>0</formula>
    </cfRule>
    <cfRule type="cellIs" priority="2" operator="greaterThanOrEqual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H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16" customWidth="1" min="3" max="3"/>
    <col width="16" customWidth="1" min="4" max="4"/>
    <col width="16" customWidth="1" min="5" max="5"/>
    <col width="4" customWidth="1" min="6" max="6"/>
    <col width="22" customWidth="1" min="7" max="7"/>
    <col width="16" customWidth="1" min="8" max="8"/>
  </cols>
  <sheetData>
    <row r="2">
      <c r="B2" s="5" t="inlineStr">
        <is>
          <t xml:space="preserve">  Febbraio</t>
        </is>
      </c>
    </row>
    <row r="4">
      <c r="B4" s="8" t="inlineStr">
        <is>
          <t>ENTRATE</t>
        </is>
      </c>
      <c r="C4" s="8" t="inlineStr">
        <is>
          <t>Pianificato</t>
        </is>
      </c>
      <c r="D4" s="8" t="inlineStr">
        <is>
          <t>Effettivo</t>
        </is>
      </c>
      <c r="G4" s="8" t="inlineStr">
        <is>
          <t>RIEPILOGO MESE</t>
        </is>
      </c>
      <c r="H4" s="13" t="n"/>
    </row>
    <row r="5">
      <c r="B5" s="9" t="inlineStr">
        <is>
          <t>Stipendio</t>
        </is>
      </c>
      <c r="C5" s="10" t="n">
        <v>0</v>
      </c>
      <c r="D5" s="10" t="n">
        <v>0</v>
      </c>
      <c r="G5" s="9" t="inlineStr">
        <is>
          <t>Entrate</t>
        </is>
      </c>
      <c r="H5" s="14">
        <f>D9</f>
        <v/>
      </c>
    </row>
    <row r="6">
      <c r="B6" s="9" t="inlineStr">
        <is>
          <t>Entrate extra</t>
        </is>
      </c>
      <c r="C6" s="10" t="n">
        <v>0</v>
      </c>
      <c r="D6" s="10" t="n">
        <v>0</v>
      </c>
      <c r="G6" s="9" t="inlineStr">
        <is>
          <t>Spese</t>
        </is>
      </c>
      <c r="H6" s="14">
        <f>D23</f>
        <v/>
      </c>
    </row>
    <row r="7">
      <c r="B7" s="9" t="inlineStr">
        <is>
          <t>Rimborsi</t>
        </is>
      </c>
      <c r="C7" s="10" t="n">
        <v>0</v>
      </c>
      <c r="D7" s="10" t="n">
        <v>0</v>
      </c>
      <c r="G7" s="15" t="inlineStr">
        <is>
          <t>Risparmio netto</t>
        </is>
      </c>
      <c r="H7" s="16">
        <f>D9-D23</f>
        <v/>
      </c>
    </row>
    <row r="8">
      <c r="B8" s="9" t="inlineStr">
        <is>
          <t>Altro</t>
        </is>
      </c>
      <c r="C8" s="10" t="n">
        <v>0</v>
      </c>
      <c r="D8" s="10" t="n">
        <v>0</v>
      </c>
      <c r="G8" s="15" t="inlineStr">
        <is>
          <t>Tasso di risparmio</t>
        </is>
      </c>
      <c r="H8" s="17">
        <f>IF(D9=0,0,(D9-D23)/D9)</f>
        <v/>
      </c>
    </row>
    <row r="9">
      <c r="B9" s="6" t="inlineStr">
        <is>
          <t>Totale entrate</t>
        </is>
      </c>
      <c r="C9" s="18">
        <f>SUM(C5:C8)</f>
        <v/>
      </c>
      <c r="D9" s="18">
        <f>SUM(D5:D8)</f>
        <v/>
      </c>
    </row>
    <row r="10">
      <c r="B10" s="8" t="inlineStr">
        <is>
          <t>SPESE</t>
        </is>
      </c>
      <c r="C10" s="8" t="inlineStr">
        <is>
          <t>Budget</t>
        </is>
      </c>
      <c r="D10" s="8" t="inlineStr">
        <is>
          <t>Speso</t>
        </is>
      </c>
      <c r="E10" s="8" t="inlineStr">
        <is>
          <t>Differenza</t>
        </is>
      </c>
    </row>
    <row r="11">
      <c r="B11" s="9" t="inlineStr">
        <is>
          <t>Affitto/Mutuo</t>
        </is>
      </c>
      <c r="C11" s="10">
        <f>Setup!C7</f>
        <v/>
      </c>
      <c r="D11" s="10" t="n">
        <v>0</v>
      </c>
      <c r="E11" s="10">
        <f>C11-D11</f>
        <v/>
      </c>
    </row>
    <row r="12">
      <c r="B12" s="9" t="inlineStr">
        <is>
          <t>Bollette</t>
        </is>
      </c>
      <c r="C12" s="10">
        <f>Setup!C8</f>
        <v/>
      </c>
      <c r="D12" s="10" t="n">
        <v>0</v>
      </c>
      <c r="E12" s="10">
        <f>C12-D12</f>
        <v/>
      </c>
    </row>
    <row r="13">
      <c r="B13" s="9" t="inlineStr">
        <is>
          <t>Spesa alimentare</t>
        </is>
      </c>
      <c r="C13" s="10">
        <f>Setup!C9</f>
        <v/>
      </c>
      <c r="D13" s="10" t="n">
        <v>0</v>
      </c>
      <c r="E13" s="10">
        <f>C13-D13</f>
        <v/>
      </c>
    </row>
    <row r="14">
      <c r="B14" s="9" t="inlineStr">
        <is>
          <t>Trasporti</t>
        </is>
      </c>
      <c r="C14" s="10">
        <f>Setup!C10</f>
        <v/>
      </c>
      <c r="D14" s="10" t="n">
        <v>0</v>
      </c>
      <c r="E14" s="10">
        <f>C14-D14</f>
        <v/>
      </c>
    </row>
    <row r="15">
      <c r="B15" s="9" t="inlineStr">
        <is>
          <t>Salute</t>
        </is>
      </c>
      <c r="C15" s="10">
        <f>Setup!C11</f>
        <v/>
      </c>
      <c r="D15" s="10" t="n">
        <v>0</v>
      </c>
      <c r="E15" s="10">
        <f>C15-D15</f>
        <v/>
      </c>
    </row>
    <row r="16">
      <c r="B16" s="9" t="inlineStr">
        <is>
          <t>Assicurazioni</t>
        </is>
      </c>
      <c r="C16" s="10">
        <f>Setup!C12</f>
        <v/>
      </c>
      <c r="D16" s="10" t="n">
        <v>0</v>
      </c>
      <c r="E16" s="10">
        <f>C16-D16</f>
        <v/>
      </c>
    </row>
    <row r="17">
      <c r="B17" s="9" t="inlineStr">
        <is>
          <t>Abbonamenti</t>
        </is>
      </c>
      <c r="C17" s="10">
        <f>Setup!C13</f>
        <v/>
      </c>
      <c r="D17" s="10" t="n">
        <v>0</v>
      </c>
      <c r="E17" s="10">
        <f>C17-D17</f>
        <v/>
      </c>
    </row>
    <row r="18">
      <c r="B18" s="9" t="inlineStr">
        <is>
          <t>Ristoranti/Bar</t>
        </is>
      </c>
      <c r="C18" s="10">
        <f>Setup!C14</f>
        <v/>
      </c>
      <c r="D18" s="10" t="n">
        <v>0</v>
      </c>
      <c r="E18" s="10">
        <f>C18-D18</f>
        <v/>
      </c>
    </row>
    <row r="19">
      <c r="B19" s="9" t="inlineStr">
        <is>
          <t>Shopping</t>
        </is>
      </c>
      <c r="C19" s="10">
        <f>Setup!C15</f>
        <v/>
      </c>
      <c r="D19" s="10" t="n">
        <v>0</v>
      </c>
      <c r="E19" s="10">
        <f>C19-D19</f>
        <v/>
      </c>
    </row>
    <row r="20">
      <c r="B20" s="9" t="inlineStr">
        <is>
          <t>Tempo libero</t>
        </is>
      </c>
      <c r="C20" s="10">
        <f>Setup!C16</f>
        <v/>
      </c>
      <c r="D20" s="10" t="n">
        <v>0</v>
      </c>
      <c r="E20" s="10">
        <f>C20-D20</f>
        <v/>
      </c>
    </row>
    <row r="21">
      <c r="B21" s="9" t="inlineStr">
        <is>
          <t>Risparmio/Investimenti</t>
        </is>
      </c>
      <c r="C21" s="10">
        <f>Setup!C17</f>
        <v/>
      </c>
      <c r="D21" s="10" t="n">
        <v>0</v>
      </c>
      <c r="E21" s="10">
        <f>C21-D21</f>
        <v/>
      </c>
    </row>
    <row r="22">
      <c r="B22" s="9" t="inlineStr">
        <is>
          <t>Altro</t>
        </is>
      </c>
      <c r="C22" s="10">
        <f>Setup!C18</f>
        <v/>
      </c>
      <c r="D22" s="10" t="n">
        <v>0</v>
      </c>
      <c r="E22" s="10">
        <f>C22-D22</f>
        <v/>
      </c>
    </row>
    <row r="23">
      <c r="B23" s="6" t="inlineStr">
        <is>
          <t>Totale spese</t>
        </is>
      </c>
      <c r="C23" s="18">
        <f>SUM(C11:C22)</f>
        <v/>
      </c>
      <c r="D23" s="18">
        <f>SUM(D11:D22)</f>
        <v/>
      </c>
      <c r="E23" s="18">
        <f>SUM(E11:E22)</f>
        <v/>
      </c>
    </row>
  </sheetData>
  <mergeCells count="2">
    <mergeCell ref="G4:H4"/>
    <mergeCell ref="B2:E2"/>
  </mergeCells>
  <conditionalFormatting sqref="E11:E22">
    <cfRule type="cellIs" priority="1" operator="lessThan" dxfId="0">
      <formula>0</formula>
    </cfRule>
    <cfRule type="cellIs" priority="2" operator="greaterThanOrEqual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H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16" customWidth="1" min="3" max="3"/>
    <col width="16" customWidth="1" min="4" max="4"/>
    <col width="16" customWidth="1" min="5" max="5"/>
    <col width="4" customWidth="1" min="6" max="6"/>
    <col width="22" customWidth="1" min="7" max="7"/>
    <col width="16" customWidth="1" min="8" max="8"/>
  </cols>
  <sheetData>
    <row r="2">
      <c r="B2" s="5" t="inlineStr">
        <is>
          <t xml:space="preserve">  Marzo</t>
        </is>
      </c>
    </row>
    <row r="4">
      <c r="B4" s="8" t="inlineStr">
        <is>
          <t>ENTRATE</t>
        </is>
      </c>
      <c r="C4" s="8" t="inlineStr">
        <is>
          <t>Pianificato</t>
        </is>
      </c>
      <c r="D4" s="8" t="inlineStr">
        <is>
          <t>Effettivo</t>
        </is>
      </c>
      <c r="G4" s="8" t="inlineStr">
        <is>
          <t>RIEPILOGO MESE</t>
        </is>
      </c>
      <c r="H4" s="13" t="n"/>
    </row>
    <row r="5">
      <c r="B5" s="9" t="inlineStr">
        <is>
          <t>Stipendio</t>
        </is>
      </c>
      <c r="C5" s="10" t="n">
        <v>0</v>
      </c>
      <c r="D5" s="10" t="n">
        <v>0</v>
      </c>
      <c r="G5" s="9" t="inlineStr">
        <is>
          <t>Entrate</t>
        </is>
      </c>
      <c r="H5" s="14">
        <f>D9</f>
        <v/>
      </c>
    </row>
    <row r="6">
      <c r="B6" s="9" t="inlineStr">
        <is>
          <t>Entrate extra</t>
        </is>
      </c>
      <c r="C6" s="10" t="n">
        <v>0</v>
      </c>
      <c r="D6" s="10" t="n">
        <v>0</v>
      </c>
      <c r="G6" s="9" t="inlineStr">
        <is>
          <t>Spese</t>
        </is>
      </c>
      <c r="H6" s="14">
        <f>D23</f>
        <v/>
      </c>
    </row>
    <row r="7">
      <c r="B7" s="9" t="inlineStr">
        <is>
          <t>Rimborsi</t>
        </is>
      </c>
      <c r="C7" s="10" t="n">
        <v>0</v>
      </c>
      <c r="D7" s="10" t="n">
        <v>0</v>
      </c>
      <c r="G7" s="15" t="inlineStr">
        <is>
          <t>Risparmio netto</t>
        </is>
      </c>
      <c r="H7" s="16">
        <f>D9-D23</f>
        <v/>
      </c>
    </row>
    <row r="8">
      <c r="B8" s="9" t="inlineStr">
        <is>
          <t>Altro</t>
        </is>
      </c>
      <c r="C8" s="10" t="n">
        <v>0</v>
      </c>
      <c r="D8" s="10" t="n">
        <v>0</v>
      </c>
      <c r="G8" s="15" t="inlineStr">
        <is>
          <t>Tasso di risparmio</t>
        </is>
      </c>
      <c r="H8" s="17">
        <f>IF(D9=0,0,(D9-D23)/D9)</f>
        <v/>
      </c>
    </row>
    <row r="9">
      <c r="B9" s="6" t="inlineStr">
        <is>
          <t>Totale entrate</t>
        </is>
      </c>
      <c r="C9" s="18">
        <f>SUM(C5:C8)</f>
        <v/>
      </c>
      <c r="D9" s="18">
        <f>SUM(D5:D8)</f>
        <v/>
      </c>
    </row>
    <row r="10">
      <c r="B10" s="8" t="inlineStr">
        <is>
          <t>SPESE</t>
        </is>
      </c>
      <c r="C10" s="8" t="inlineStr">
        <is>
          <t>Budget</t>
        </is>
      </c>
      <c r="D10" s="8" t="inlineStr">
        <is>
          <t>Speso</t>
        </is>
      </c>
      <c r="E10" s="8" t="inlineStr">
        <is>
          <t>Differenza</t>
        </is>
      </c>
    </row>
    <row r="11">
      <c r="B11" s="9" t="inlineStr">
        <is>
          <t>Affitto/Mutuo</t>
        </is>
      </c>
      <c r="C11" s="10">
        <f>Setup!C7</f>
        <v/>
      </c>
      <c r="D11" s="10" t="n">
        <v>0</v>
      </c>
      <c r="E11" s="10">
        <f>C11-D11</f>
        <v/>
      </c>
    </row>
    <row r="12">
      <c r="B12" s="9" t="inlineStr">
        <is>
          <t>Bollette</t>
        </is>
      </c>
      <c r="C12" s="10">
        <f>Setup!C8</f>
        <v/>
      </c>
      <c r="D12" s="10" t="n">
        <v>0</v>
      </c>
      <c r="E12" s="10">
        <f>C12-D12</f>
        <v/>
      </c>
    </row>
    <row r="13">
      <c r="B13" s="9" t="inlineStr">
        <is>
          <t>Spesa alimentare</t>
        </is>
      </c>
      <c r="C13" s="10">
        <f>Setup!C9</f>
        <v/>
      </c>
      <c r="D13" s="10" t="n">
        <v>0</v>
      </c>
      <c r="E13" s="10">
        <f>C13-D13</f>
        <v/>
      </c>
    </row>
    <row r="14">
      <c r="B14" s="9" t="inlineStr">
        <is>
          <t>Trasporti</t>
        </is>
      </c>
      <c r="C14" s="10">
        <f>Setup!C10</f>
        <v/>
      </c>
      <c r="D14" s="10" t="n">
        <v>0</v>
      </c>
      <c r="E14" s="10">
        <f>C14-D14</f>
        <v/>
      </c>
    </row>
    <row r="15">
      <c r="B15" s="9" t="inlineStr">
        <is>
          <t>Salute</t>
        </is>
      </c>
      <c r="C15" s="10">
        <f>Setup!C11</f>
        <v/>
      </c>
      <c r="D15" s="10" t="n">
        <v>0</v>
      </c>
      <c r="E15" s="10">
        <f>C15-D15</f>
        <v/>
      </c>
    </row>
    <row r="16">
      <c r="B16" s="9" t="inlineStr">
        <is>
          <t>Assicurazioni</t>
        </is>
      </c>
      <c r="C16" s="10">
        <f>Setup!C12</f>
        <v/>
      </c>
      <c r="D16" s="10" t="n">
        <v>0</v>
      </c>
      <c r="E16" s="10">
        <f>C16-D16</f>
        <v/>
      </c>
    </row>
    <row r="17">
      <c r="B17" s="9" t="inlineStr">
        <is>
          <t>Abbonamenti</t>
        </is>
      </c>
      <c r="C17" s="10">
        <f>Setup!C13</f>
        <v/>
      </c>
      <c r="D17" s="10" t="n">
        <v>0</v>
      </c>
      <c r="E17" s="10">
        <f>C17-D17</f>
        <v/>
      </c>
    </row>
    <row r="18">
      <c r="B18" s="9" t="inlineStr">
        <is>
          <t>Ristoranti/Bar</t>
        </is>
      </c>
      <c r="C18" s="10">
        <f>Setup!C14</f>
        <v/>
      </c>
      <c r="D18" s="10" t="n">
        <v>0</v>
      </c>
      <c r="E18" s="10">
        <f>C18-D18</f>
        <v/>
      </c>
    </row>
    <row r="19">
      <c r="B19" s="9" t="inlineStr">
        <is>
          <t>Shopping</t>
        </is>
      </c>
      <c r="C19" s="10">
        <f>Setup!C15</f>
        <v/>
      </c>
      <c r="D19" s="10" t="n">
        <v>0</v>
      </c>
      <c r="E19" s="10">
        <f>C19-D19</f>
        <v/>
      </c>
    </row>
    <row r="20">
      <c r="B20" s="9" t="inlineStr">
        <is>
          <t>Tempo libero</t>
        </is>
      </c>
      <c r="C20" s="10">
        <f>Setup!C16</f>
        <v/>
      </c>
      <c r="D20" s="10" t="n">
        <v>0</v>
      </c>
      <c r="E20" s="10">
        <f>C20-D20</f>
        <v/>
      </c>
    </row>
    <row r="21">
      <c r="B21" s="9" t="inlineStr">
        <is>
          <t>Risparmio/Investimenti</t>
        </is>
      </c>
      <c r="C21" s="10">
        <f>Setup!C17</f>
        <v/>
      </c>
      <c r="D21" s="10" t="n">
        <v>0</v>
      </c>
      <c r="E21" s="10">
        <f>C21-D21</f>
        <v/>
      </c>
    </row>
    <row r="22">
      <c r="B22" s="9" t="inlineStr">
        <is>
          <t>Altro</t>
        </is>
      </c>
      <c r="C22" s="10">
        <f>Setup!C18</f>
        <v/>
      </c>
      <c r="D22" s="10" t="n">
        <v>0</v>
      </c>
      <c r="E22" s="10">
        <f>C22-D22</f>
        <v/>
      </c>
    </row>
    <row r="23">
      <c r="B23" s="6" t="inlineStr">
        <is>
          <t>Totale spese</t>
        </is>
      </c>
      <c r="C23" s="18">
        <f>SUM(C11:C22)</f>
        <v/>
      </c>
      <c r="D23" s="18">
        <f>SUM(D11:D22)</f>
        <v/>
      </c>
      <c r="E23" s="18">
        <f>SUM(E11:E22)</f>
        <v/>
      </c>
    </row>
  </sheetData>
  <mergeCells count="2">
    <mergeCell ref="G4:H4"/>
    <mergeCell ref="B2:E2"/>
  </mergeCells>
  <conditionalFormatting sqref="E11:E22">
    <cfRule type="cellIs" priority="1" operator="lessThan" dxfId="0">
      <formula>0</formula>
    </cfRule>
    <cfRule type="cellIs" priority="2" operator="greaterThanOrEqual" dxfId="1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H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16" customWidth="1" min="3" max="3"/>
    <col width="16" customWidth="1" min="4" max="4"/>
    <col width="16" customWidth="1" min="5" max="5"/>
    <col width="4" customWidth="1" min="6" max="6"/>
    <col width="22" customWidth="1" min="7" max="7"/>
    <col width="16" customWidth="1" min="8" max="8"/>
  </cols>
  <sheetData>
    <row r="2">
      <c r="B2" s="5" t="inlineStr">
        <is>
          <t xml:space="preserve">  Aprile</t>
        </is>
      </c>
    </row>
    <row r="4">
      <c r="B4" s="8" t="inlineStr">
        <is>
          <t>ENTRATE</t>
        </is>
      </c>
      <c r="C4" s="8" t="inlineStr">
        <is>
          <t>Pianificato</t>
        </is>
      </c>
      <c r="D4" s="8" t="inlineStr">
        <is>
          <t>Effettivo</t>
        </is>
      </c>
      <c r="G4" s="8" t="inlineStr">
        <is>
          <t>RIEPILOGO MESE</t>
        </is>
      </c>
      <c r="H4" s="13" t="n"/>
    </row>
    <row r="5">
      <c r="B5" s="9" t="inlineStr">
        <is>
          <t>Stipendio</t>
        </is>
      </c>
      <c r="C5" s="10" t="n">
        <v>0</v>
      </c>
      <c r="D5" s="10" t="n">
        <v>0</v>
      </c>
      <c r="G5" s="9" t="inlineStr">
        <is>
          <t>Entrate</t>
        </is>
      </c>
      <c r="H5" s="14">
        <f>D9</f>
        <v/>
      </c>
    </row>
    <row r="6">
      <c r="B6" s="9" t="inlineStr">
        <is>
          <t>Entrate extra</t>
        </is>
      </c>
      <c r="C6" s="10" t="n">
        <v>0</v>
      </c>
      <c r="D6" s="10" t="n">
        <v>0</v>
      </c>
      <c r="G6" s="9" t="inlineStr">
        <is>
          <t>Spese</t>
        </is>
      </c>
      <c r="H6" s="14">
        <f>D23</f>
        <v/>
      </c>
    </row>
    <row r="7">
      <c r="B7" s="9" t="inlineStr">
        <is>
          <t>Rimborsi</t>
        </is>
      </c>
      <c r="C7" s="10" t="n">
        <v>0</v>
      </c>
      <c r="D7" s="10" t="n">
        <v>0</v>
      </c>
      <c r="G7" s="15" t="inlineStr">
        <is>
          <t>Risparmio netto</t>
        </is>
      </c>
      <c r="H7" s="16">
        <f>D9-D23</f>
        <v/>
      </c>
    </row>
    <row r="8">
      <c r="B8" s="9" t="inlineStr">
        <is>
          <t>Altro</t>
        </is>
      </c>
      <c r="C8" s="10" t="n">
        <v>0</v>
      </c>
      <c r="D8" s="10" t="n">
        <v>0</v>
      </c>
      <c r="G8" s="15" t="inlineStr">
        <is>
          <t>Tasso di risparmio</t>
        </is>
      </c>
      <c r="H8" s="17">
        <f>IF(D9=0,0,(D9-D23)/D9)</f>
        <v/>
      </c>
    </row>
    <row r="9">
      <c r="B9" s="6" t="inlineStr">
        <is>
          <t>Totale entrate</t>
        </is>
      </c>
      <c r="C9" s="18">
        <f>SUM(C5:C8)</f>
        <v/>
      </c>
      <c r="D9" s="18">
        <f>SUM(D5:D8)</f>
        <v/>
      </c>
    </row>
    <row r="10">
      <c r="B10" s="8" t="inlineStr">
        <is>
          <t>SPESE</t>
        </is>
      </c>
      <c r="C10" s="8" t="inlineStr">
        <is>
          <t>Budget</t>
        </is>
      </c>
      <c r="D10" s="8" t="inlineStr">
        <is>
          <t>Speso</t>
        </is>
      </c>
      <c r="E10" s="8" t="inlineStr">
        <is>
          <t>Differenza</t>
        </is>
      </c>
    </row>
    <row r="11">
      <c r="B11" s="9" t="inlineStr">
        <is>
          <t>Affitto/Mutuo</t>
        </is>
      </c>
      <c r="C11" s="10">
        <f>Setup!C7</f>
        <v/>
      </c>
      <c r="D11" s="10" t="n">
        <v>0</v>
      </c>
      <c r="E11" s="10">
        <f>C11-D11</f>
        <v/>
      </c>
    </row>
    <row r="12">
      <c r="B12" s="9" t="inlineStr">
        <is>
          <t>Bollette</t>
        </is>
      </c>
      <c r="C12" s="10">
        <f>Setup!C8</f>
        <v/>
      </c>
      <c r="D12" s="10" t="n">
        <v>0</v>
      </c>
      <c r="E12" s="10">
        <f>C12-D12</f>
        <v/>
      </c>
    </row>
    <row r="13">
      <c r="B13" s="9" t="inlineStr">
        <is>
          <t>Spesa alimentare</t>
        </is>
      </c>
      <c r="C13" s="10">
        <f>Setup!C9</f>
        <v/>
      </c>
      <c r="D13" s="10" t="n">
        <v>0</v>
      </c>
      <c r="E13" s="10">
        <f>C13-D13</f>
        <v/>
      </c>
    </row>
    <row r="14">
      <c r="B14" s="9" t="inlineStr">
        <is>
          <t>Trasporti</t>
        </is>
      </c>
      <c r="C14" s="10">
        <f>Setup!C10</f>
        <v/>
      </c>
      <c r="D14" s="10" t="n">
        <v>0</v>
      </c>
      <c r="E14" s="10">
        <f>C14-D14</f>
        <v/>
      </c>
    </row>
    <row r="15">
      <c r="B15" s="9" t="inlineStr">
        <is>
          <t>Salute</t>
        </is>
      </c>
      <c r="C15" s="10">
        <f>Setup!C11</f>
        <v/>
      </c>
      <c r="D15" s="10" t="n">
        <v>0</v>
      </c>
      <c r="E15" s="10">
        <f>C15-D15</f>
        <v/>
      </c>
    </row>
    <row r="16">
      <c r="B16" s="9" t="inlineStr">
        <is>
          <t>Assicurazioni</t>
        </is>
      </c>
      <c r="C16" s="10">
        <f>Setup!C12</f>
        <v/>
      </c>
      <c r="D16" s="10" t="n">
        <v>0</v>
      </c>
      <c r="E16" s="10">
        <f>C16-D16</f>
        <v/>
      </c>
    </row>
    <row r="17">
      <c r="B17" s="9" t="inlineStr">
        <is>
          <t>Abbonamenti</t>
        </is>
      </c>
      <c r="C17" s="10">
        <f>Setup!C13</f>
        <v/>
      </c>
      <c r="D17" s="10" t="n">
        <v>0</v>
      </c>
      <c r="E17" s="10">
        <f>C17-D17</f>
        <v/>
      </c>
    </row>
    <row r="18">
      <c r="B18" s="9" t="inlineStr">
        <is>
          <t>Ristoranti/Bar</t>
        </is>
      </c>
      <c r="C18" s="10">
        <f>Setup!C14</f>
        <v/>
      </c>
      <c r="D18" s="10" t="n">
        <v>0</v>
      </c>
      <c r="E18" s="10">
        <f>C18-D18</f>
        <v/>
      </c>
    </row>
    <row r="19">
      <c r="B19" s="9" t="inlineStr">
        <is>
          <t>Shopping</t>
        </is>
      </c>
      <c r="C19" s="10">
        <f>Setup!C15</f>
        <v/>
      </c>
      <c r="D19" s="10" t="n">
        <v>0</v>
      </c>
      <c r="E19" s="10">
        <f>C19-D19</f>
        <v/>
      </c>
    </row>
    <row r="20">
      <c r="B20" s="9" t="inlineStr">
        <is>
          <t>Tempo libero</t>
        </is>
      </c>
      <c r="C20" s="10">
        <f>Setup!C16</f>
        <v/>
      </c>
      <c r="D20" s="10" t="n">
        <v>0</v>
      </c>
      <c r="E20" s="10">
        <f>C20-D20</f>
        <v/>
      </c>
    </row>
    <row r="21">
      <c r="B21" s="9" t="inlineStr">
        <is>
          <t>Risparmio/Investimenti</t>
        </is>
      </c>
      <c r="C21" s="10">
        <f>Setup!C17</f>
        <v/>
      </c>
      <c r="D21" s="10" t="n">
        <v>0</v>
      </c>
      <c r="E21" s="10">
        <f>C21-D21</f>
        <v/>
      </c>
    </row>
    <row r="22">
      <c r="B22" s="9" t="inlineStr">
        <is>
          <t>Altro</t>
        </is>
      </c>
      <c r="C22" s="10">
        <f>Setup!C18</f>
        <v/>
      </c>
      <c r="D22" s="10" t="n">
        <v>0</v>
      </c>
      <c r="E22" s="10">
        <f>C22-D22</f>
        <v/>
      </c>
    </row>
    <row r="23">
      <c r="B23" s="6" t="inlineStr">
        <is>
          <t>Totale spese</t>
        </is>
      </c>
      <c r="C23" s="18">
        <f>SUM(C11:C22)</f>
        <v/>
      </c>
      <c r="D23" s="18">
        <f>SUM(D11:D22)</f>
        <v/>
      </c>
      <c r="E23" s="18">
        <f>SUM(E11:E22)</f>
        <v/>
      </c>
    </row>
  </sheetData>
  <mergeCells count="2">
    <mergeCell ref="G4:H4"/>
    <mergeCell ref="B2:E2"/>
  </mergeCells>
  <conditionalFormatting sqref="E11:E22">
    <cfRule type="cellIs" priority="1" operator="lessThan" dxfId="0">
      <formula>0</formula>
    </cfRule>
    <cfRule type="cellIs" priority="2" operator="greaterThanOrEqual" dxfId="1">
      <formula>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16" customWidth="1" min="3" max="3"/>
    <col width="16" customWidth="1" min="4" max="4"/>
    <col width="16" customWidth="1" min="5" max="5"/>
    <col width="4" customWidth="1" min="6" max="6"/>
    <col width="22" customWidth="1" min="7" max="7"/>
    <col width="16" customWidth="1" min="8" max="8"/>
  </cols>
  <sheetData>
    <row r="2">
      <c r="B2" s="5" t="inlineStr">
        <is>
          <t xml:space="preserve">  Maggio</t>
        </is>
      </c>
    </row>
    <row r="4">
      <c r="B4" s="8" t="inlineStr">
        <is>
          <t>ENTRATE</t>
        </is>
      </c>
      <c r="C4" s="8" t="inlineStr">
        <is>
          <t>Pianificato</t>
        </is>
      </c>
      <c r="D4" s="8" t="inlineStr">
        <is>
          <t>Effettivo</t>
        </is>
      </c>
      <c r="G4" s="8" t="inlineStr">
        <is>
          <t>RIEPILOGO MESE</t>
        </is>
      </c>
      <c r="H4" s="13" t="n"/>
    </row>
    <row r="5">
      <c r="B5" s="9" t="inlineStr">
        <is>
          <t>Stipendio</t>
        </is>
      </c>
      <c r="C5" s="10" t="n">
        <v>0</v>
      </c>
      <c r="D5" s="10" t="n">
        <v>0</v>
      </c>
      <c r="G5" s="9" t="inlineStr">
        <is>
          <t>Entrate</t>
        </is>
      </c>
      <c r="H5" s="14">
        <f>D9</f>
        <v/>
      </c>
    </row>
    <row r="6">
      <c r="B6" s="9" t="inlineStr">
        <is>
          <t>Entrate extra</t>
        </is>
      </c>
      <c r="C6" s="10" t="n">
        <v>0</v>
      </c>
      <c r="D6" s="10" t="n">
        <v>0</v>
      </c>
      <c r="G6" s="9" t="inlineStr">
        <is>
          <t>Spese</t>
        </is>
      </c>
      <c r="H6" s="14">
        <f>D23</f>
        <v/>
      </c>
    </row>
    <row r="7">
      <c r="B7" s="9" t="inlineStr">
        <is>
          <t>Rimborsi</t>
        </is>
      </c>
      <c r="C7" s="10" t="n">
        <v>0</v>
      </c>
      <c r="D7" s="10" t="n">
        <v>0</v>
      </c>
      <c r="G7" s="15" t="inlineStr">
        <is>
          <t>Risparmio netto</t>
        </is>
      </c>
      <c r="H7" s="16">
        <f>D9-D23</f>
        <v/>
      </c>
    </row>
    <row r="8">
      <c r="B8" s="9" t="inlineStr">
        <is>
          <t>Altro</t>
        </is>
      </c>
      <c r="C8" s="10" t="n">
        <v>0</v>
      </c>
      <c r="D8" s="10" t="n">
        <v>0</v>
      </c>
      <c r="G8" s="15" t="inlineStr">
        <is>
          <t>Tasso di risparmio</t>
        </is>
      </c>
      <c r="H8" s="17">
        <f>IF(D9=0,0,(D9-D23)/D9)</f>
        <v/>
      </c>
    </row>
    <row r="9">
      <c r="B9" s="6" t="inlineStr">
        <is>
          <t>Totale entrate</t>
        </is>
      </c>
      <c r="C9" s="18">
        <f>SUM(C5:C8)</f>
        <v/>
      </c>
      <c r="D9" s="18">
        <f>SUM(D5:D8)</f>
        <v/>
      </c>
    </row>
    <row r="10">
      <c r="B10" s="8" t="inlineStr">
        <is>
          <t>SPESE</t>
        </is>
      </c>
      <c r="C10" s="8" t="inlineStr">
        <is>
          <t>Budget</t>
        </is>
      </c>
      <c r="D10" s="8" t="inlineStr">
        <is>
          <t>Speso</t>
        </is>
      </c>
      <c r="E10" s="8" t="inlineStr">
        <is>
          <t>Differenza</t>
        </is>
      </c>
    </row>
    <row r="11">
      <c r="B11" s="9" t="inlineStr">
        <is>
          <t>Affitto/Mutuo</t>
        </is>
      </c>
      <c r="C11" s="10">
        <f>Setup!C7</f>
        <v/>
      </c>
      <c r="D11" s="10" t="n">
        <v>0</v>
      </c>
      <c r="E11" s="10">
        <f>C11-D11</f>
        <v/>
      </c>
    </row>
    <row r="12">
      <c r="B12" s="9" t="inlineStr">
        <is>
          <t>Bollette</t>
        </is>
      </c>
      <c r="C12" s="10">
        <f>Setup!C8</f>
        <v/>
      </c>
      <c r="D12" s="10" t="n">
        <v>0</v>
      </c>
      <c r="E12" s="10">
        <f>C12-D12</f>
        <v/>
      </c>
    </row>
    <row r="13">
      <c r="B13" s="9" t="inlineStr">
        <is>
          <t>Spesa alimentare</t>
        </is>
      </c>
      <c r="C13" s="10">
        <f>Setup!C9</f>
        <v/>
      </c>
      <c r="D13" s="10" t="n">
        <v>0</v>
      </c>
      <c r="E13" s="10">
        <f>C13-D13</f>
        <v/>
      </c>
    </row>
    <row r="14">
      <c r="B14" s="9" t="inlineStr">
        <is>
          <t>Trasporti</t>
        </is>
      </c>
      <c r="C14" s="10">
        <f>Setup!C10</f>
        <v/>
      </c>
      <c r="D14" s="10" t="n">
        <v>0</v>
      </c>
      <c r="E14" s="10">
        <f>C14-D14</f>
        <v/>
      </c>
    </row>
    <row r="15">
      <c r="B15" s="9" t="inlineStr">
        <is>
          <t>Salute</t>
        </is>
      </c>
      <c r="C15" s="10">
        <f>Setup!C11</f>
        <v/>
      </c>
      <c r="D15" s="10" t="n">
        <v>0</v>
      </c>
      <c r="E15" s="10">
        <f>C15-D15</f>
        <v/>
      </c>
    </row>
    <row r="16">
      <c r="B16" s="9" t="inlineStr">
        <is>
          <t>Assicurazioni</t>
        </is>
      </c>
      <c r="C16" s="10">
        <f>Setup!C12</f>
        <v/>
      </c>
      <c r="D16" s="10" t="n">
        <v>0</v>
      </c>
      <c r="E16" s="10">
        <f>C16-D16</f>
        <v/>
      </c>
    </row>
    <row r="17">
      <c r="B17" s="9" t="inlineStr">
        <is>
          <t>Abbonamenti</t>
        </is>
      </c>
      <c r="C17" s="10">
        <f>Setup!C13</f>
        <v/>
      </c>
      <c r="D17" s="10" t="n">
        <v>0</v>
      </c>
      <c r="E17" s="10">
        <f>C17-D17</f>
        <v/>
      </c>
    </row>
    <row r="18">
      <c r="B18" s="9" t="inlineStr">
        <is>
          <t>Ristoranti/Bar</t>
        </is>
      </c>
      <c r="C18" s="10">
        <f>Setup!C14</f>
        <v/>
      </c>
      <c r="D18" s="10" t="n">
        <v>0</v>
      </c>
      <c r="E18" s="10">
        <f>C18-D18</f>
        <v/>
      </c>
    </row>
    <row r="19">
      <c r="B19" s="9" t="inlineStr">
        <is>
          <t>Shopping</t>
        </is>
      </c>
      <c r="C19" s="10">
        <f>Setup!C15</f>
        <v/>
      </c>
      <c r="D19" s="10" t="n">
        <v>0</v>
      </c>
      <c r="E19" s="10">
        <f>C19-D19</f>
        <v/>
      </c>
    </row>
    <row r="20">
      <c r="B20" s="9" t="inlineStr">
        <is>
          <t>Tempo libero</t>
        </is>
      </c>
      <c r="C20" s="10">
        <f>Setup!C16</f>
        <v/>
      </c>
      <c r="D20" s="10" t="n">
        <v>0</v>
      </c>
      <c r="E20" s="10">
        <f>C20-D20</f>
        <v/>
      </c>
    </row>
    <row r="21">
      <c r="B21" s="9" t="inlineStr">
        <is>
          <t>Risparmio/Investimenti</t>
        </is>
      </c>
      <c r="C21" s="10">
        <f>Setup!C17</f>
        <v/>
      </c>
      <c r="D21" s="10" t="n">
        <v>0</v>
      </c>
      <c r="E21" s="10">
        <f>C21-D21</f>
        <v/>
      </c>
    </row>
    <row r="22">
      <c r="B22" s="9" t="inlineStr">
        <is>
          <t>Altro</t>
        </is>
      </c>
      <c r="C22" s="10">
        <f>Setup!C18</f>
        <v/>
      </c>
      <c r="D22" s="10" t="n">
        <v>0</v>
      </c>
      <c r="E22" s="10">
        <f>C22-D22</f>
        <v/>
      </c>
    </row>
    <row r="23">
      <c r="B23" s="6" t="inlineStr">
        <is>
          <t>Totale spese</t>
        </is>
      </c>
      <c r="C23" s="18">
        <f>SUM(C11:C22)</f>
        <v/>
      </c>
      <c r="D23" s="18">
        <f>SUM(D11:D22)</f>
        <v/>
      </c>
      <c r="E23" s="18">
        <f>SUM(E11:E22)</f>
        <v/>
      </c>
    </row>
  </sheetData>
  <mergeCells count="2">
    <mergeCell ref="G4:H4"/>
    <mergeCell ref="B2:E2"/>
  </mergeCells>
  <conditionalFormatting sqref="E11:E22">
    <cfRule type="cellIs" priority="1" operator="lessThan" dxfId="0">
      <formula>0</formula>
    </cfRule>
    <cfRule type="cellIs" priority="2" operator="greaterThanOrEqual" dxfId="1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H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16" customWidth="1" min="3" max="3"/>
    <col width="16" customWidth="1" min="4" max="4"/>
    <col width="16" customWidth="1" min="5" max="5"/>
    <col width="4" customWidth="1" min="6" max="6"/>
    <col width="22" customWidth="1" min="7" max="7"/>
    <col width="16" customWidth="1" min="8" max="8"/>
  </cols>
  <sheetData>
    <row r="2">
      <c r="B2" s="5" t="inlineStr">
        <is>
          <t xml:space="preserve">  Giugno</t>
        </is>
      </c>
    </row>
    <row r="4">
      <c r="B4" s="8" t="inlineStr">
        <is>
          <t>ENTRATE</t>
        </is>
      </c>
      <c r="C4" s="8" t="inlineStr">
        <is>
          <t>Pianificato</t>
        </is>
      </c>
      <c r="D4" s="8" t="inlineStr">
        <is>
          <t>Effettivo</t>
        </is>
      </c>
      <c r="G4" s="8" t="inlineStr">
        <is>
          <t>RIEPILOGO MESE</t>
        </is>
      </c>
      <c r="H4" s="13" t="n"/>
    </row>
    <row r="5">
      <c r="B5" s="9" t="inlineStr">
        <is>
          <t>Stipendio</t>
        </is>
      </c>
      <c r="C5" s="10" t="n">
        <v>0</v>
      </c>
      <c r="D5" s="10" t="n">
        <v>0</v>
      </c>
      <c r="G5" s="9" t="inlineStr">
        <is>
          <t>Entrate</t>
        </is>
      </c>
      <c r="H5" s="14">
        <f>D9</f>
        <v/>
      </c>
    </row>
    <row r="6">
      <c r="B6" s="9" t="inlineStr">
        <is>
          <t>Entrate extra</t>
        </is>
      </c>
      <c r="C6" s="10" t="n">
        <v>0</v>
      </c>
      <c r="D6" s="10" t="n">
        <v>0</v>
      </c>
      <c r="G6" s="9" t="inlineStr">
        <is>
          <t>Spese</t>
        </is>
      </c>
      <c r="H6" s="14">
        <f>D23</f>
        <v/>
      </c>
    </row>
    <row r="7">
      <c r="B7" s="9" t="inlineStr">
        <is>
          <t>Rimborsi</t>
        </is>
      </c>
      <c r="C7" s="10" t="n">
        <v>0</v>
      </c>
      <c r="D7" s="10" t="n">
        <v>0</v>
      </c>
      <c r="G7" s="15" t="inlineStr">
        <is>
          <t>Risparmio netto</t>
        </is>
      </c>
      <c r="H7" s="16">
        <f>D9-D23</f>
        <v/>
      </c>
    </row>
    <row r="8">
      <c r="B8" s="9" t="inlineStr">
        <is>
          <t>Altro</t>
        </is>
      </c>
      <c r="C8" s="10" t="n">
        <v>0</v>
      </c>
      <c r="D8" s="10" t="n">
        <v>0</v>
      </c>
      <c r="G8" s="15" t="inlineStr">
        <is>
          <t>Tasso di risparmio</t>
        </is>
      </c>
      <c r="H8" s="17">
        <f>IF(D9=0,0,(D9-D23)/D9)</f>
        <v/>
      </c>
    </row>
    <row r="9">
      <c r="B9" s="6" t="inlineStr">
        <is>
          <t>Totale entrate</t>
        </is>
      </c>
      <c r="C9" s="18">
        <f>SUM(C5:C8)</f>
        <v/>
      </c>
      <c r="D9" s="18">
        <f>SUM(D5:D8)</f>
        <v/>
      </c>
    </row>
    <row r="10">
      <c r="B10" s="8" t="inlineStr">
        <is>
          <t>SPESE</t>
        </is>
      </c>
      <c r="C10" s="8" t="inlineStr">
        <is>
          <t>Budget</t>
        </is>
      </c>
      <c r="D10" s="8" t="inlineStr">
        <is>
          <t>Speso</t>
        </is>
      </c>
      <c r="E10" s="8" t="inlineStr">
        <is>
          <t>Differenza</t>
        </is>
      </c>
    </row>
    <row r="11">
      <c r="B11" s="9" t="inlineStr">
        <is>
          <t>Affitto/Mutuo</t>
        </is>
      </c>
      <c r="C11" s="10">
        <f>Setup!C7</f>
        <v/>
      </c>
      <c r="D11" s="10" t="n">
        <v>0</v>
      </c>
      <c r="E11" s="10">
        <f>C11-D11</f>
        <v/>
      </c>
    </row>
    <row r="12">
      <c r="B12" s="9" t="inlineStr">
        <is>
          <t>Bollette</t>
        </is>
      </c>
      <c r="C12" s="10">
        <f>Setup!C8</f>
        <v/>
      </c>
      <c r="D12" s="10" t="n">
        <v>0</v>
      </c>
      <c r="E12" s="10">
        <f>C12-D12</f>
        <v/>
      </c>
    </row>
    <row r="13">
      <c r="B13" s="9" t="inlineStr">
        <is>
          <t>Spesa alimentare</t>
        </is>
      </c>
      <c r="C13" s="10">
        <f>Setup!C9</f>
        <v/>
      </c>
      <c r="D13" s="10" t="n">
        <v>0</v>
      </c>
      <c r="E13" s="10">
        <f>C13-D13</f>
        <v/>
      </c>
    </row>
    <row r="14">
      <c r="B14" s="9" t="inlineStr">
        <is>
          <t>Trasporti</t>
        </is>
      </c>
      <c r="C14" s="10">
        <f>Setup!C10</f>
        <v/>
      </c>
      <c r="D14" s="10" t="n">
        <v>0</v>
      </c>
      <c r="E14" s="10">
        <f>C14-D14</f>
        <v/>
      </c>
    </row>
    <row r="15">
      <c r="B15" s="9" t="inlineStr">
        <is>
          <t>Salute</t>
        </is>
      </c>
      <c r="C15" s="10">
        <f>Setup!C11</f>
        <v/>
      </c>
      <c r="D15" s="10" t="n">
        <v>0</v>
      </c>
      <c r="E15" s="10">
        <f>C15-D15</f>
        <v/>
      </c>
    </row>
    <row r="16">
      <c r="B16" s="9" t="inlineStr">
        <is>
          <t>Assicurazioni</t>
        </is>
      </c>
      <c r="C16" s="10">
        <f>Setup!C12</f>
        <v/>
      </c>
      <c r="D16" s="10" t="n">
        <v>0</v>
      </c>
      <c r="E16" s="10">
        <f>C16-D16</f>
        <v/>
      </c>
    </row>
    <row r="17">
      <c r="B17" s="9" t="inlineStr">
        <is>
          <t>Abbonamenti</t>
        </is>
      </c>
      <c r="C17" s="10">
        <f>Setup!C13</f>
        <v/>
      </c>
      <c r="D17" s="10" t="n">
        <v>0</v>
      </c>
      <c r="E17" s="10">
        <f>C17-D17</f>
        <v/>
      </c>
    </row>
    <row r="18">
      <c r="B18" s="9" t="inlineStr">
        <is>
          <t>Ristoranti/Bar</t>
        </is>
      </c>
      <c r="C18" s="10">
        <f>Setup!C14</f>
        <v/>
      </c>
      <c r="D18" s="10" t="n">
        <v>0</v>
      </c>
      <c r="E18" s="10">
        <f>C18-D18</f>
        <v/>
      </c>
    </row>
    <row r="19">
      <c r="B19" s="9" t="inlineStr">
        <is>
          <t>Shopping</t>
        </is>
      </c>
      <c r="C19" s="10">
        <f>Setup!C15</f>
        <v/>
      </c>
      <c r="D19" s="10" t="n">
        <v>0</v>
      </c>
      <c r="E19" s="10">
        <f>C19-D19</f>
        <v/>
      </c>
    </row>
    <row r="20">
      <c r="B20" s="9" t="inlineStr">
        <is>
          <t>Tempo libero</t>
        </is>
      </c>
      <c r="C20" s="10">
        <f>Setup!C16</f>
        <v/>
      </c>
      <c r="D20" s="10" t="n">
        <v>0</v>
      </c>
      <c r="E20" s="10">
        <f>C20-D20</f>
        <v/>
      </c>
    </row>
    <row r="21">
      <c r="B21" s="9" t="inlineStr">
        <is>
          <t>Risparmio/Investimenti</t>
        </is>
      </c>
      <c r="C21" s="10">
        <f>Setup!C17</f>
        <v/>
      </c>
      <c r="D21" s="10" t="n">
        <v>0</v>
      </c>
      <c r="E21" s="10">
        <f>C21-D21</f>
        <v/>
      </c>
    </row>
    <row r="22">
      <c r="B22" s="9" t="inlineStr">
        <is>
          <t>Altro</t>
        </is>
      </c>
      <c r="C22" s="10">
        <f>Setup!C18</f>
        <v/>
      </c>
      <c r="D22" s="10" t="n">
        <v>0</v>
      </c>
      <c r="E22" s="10">
        <f>C22-D22</f>
        <v/>
      </c>
    </row>
    <row r="23">
      <c r="B23" s="6" t="inlineStr">
        <is>
          <t>Totale spese</t>
        </is>
      </c>
      <c r="C23" s="18">
        <f>SUM(C11:C22)</f>
        <v/>
      </c>
      <c r="D23" s="18">
        <f>SUM(D11:D22)</f>
        <v/>
      </c>
      <c r="E23" s="18">
        <f>SUM(E11:E22)</f>
        <v/>
      </c>
    </row>
  </sheetData>
  <mergeCells count="2">
    <mergeCell ref="G4:H4"/>
    <mergeCell ref="B2:E2"/>
  </mergeCells>
  <conditionalFormatting sqref="E11:E22">
    <cfRule type="cellIs" priority="1" operator="lessThan" dxfId="0">
      <formula>0</formula>
    </cfRule>
    <cfRule type="cellIs" priority="2" operator="greaterThanOrEqual" dxfId="1">
      <formula>0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H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16" customWidth="1" min="3" max="3"/>
    <col width="16" customWidth="1" min="4" max="4"/>
    <col width="16" customWidth="1" min="5" max="5"/>
    <col width="4" customWidth="1" min="6" max="6"/>
    <col width="22" customWidth="1" min="7" max="7"/>
    <col width="16" customWidth="1" min="8" max="8"/>
  </cols>
  <sheetData>
    <row r="2">
      <c r="B2" s="5" t="inlineStr">
        <is>
          <t xml:space="preserve">  Luglio</t>
        </is>
      </c>
    </row>
    <row r="4">
      <c r="B4" s="8" t="inlineStr">
        <is>
          <t>ENTRATE</t>
        </is>
      </c>
      <c r="C4" s="8" t="inlineStr">
        <is>
          <t>Pianificato</t>
        </is>
      </c>
      <c r="D4" s="8" t="inlineStr">
        <is>
          <t>Effettivo</t>
        </is>
      </c>
      <c r="G4" s="8" t="inlineStr">
        <is>
          <t>RIEPILOGO MESE</t>
        </is>
      </c>
      <c r="H4" s="13" t="n"/>
    </row>
    <row r="5">
      <c r="B5" s="9" t="inlineStr">
        <is>
          <t>Stipendio</t>
        </is>
      </c>
      <c r="C5" s="10" t="n">
        <v>0</v>
      </c>
      <c r="D5" s="10" t="n">
        <v>0</v>
      </c>
      <c r="G5" s="9" t="inlineStr">
        <is>
          <t>Entrate</t>
        </is>
      </c>
      <c r="H5" s="14">
        <f>D9</f>
        <v/>
      </c>
    </row>
    <row r="6">
      <c r="B6" s="9" t="inlineStr">
        <is>
          <t>Entrate extra</t>
        </is>
      </c>
      <c r="C6" s="10" t="n">
        <v>0</v>
      </c>
      <c r="D6" s="10" t="n">
        <v>0</v>
      </c>
      <c r="G6" s="9" t="inlineStr">
        <is>
          <t>Spese</t>
        </is>
      </c>
      <c r="H6" s="14">
        <f>D23</f>
        <v/>
      </c>
    </row>
    <row r="7">
      <c r="B7" s="9" t="inlineStr">
        <is>
          <t>Rimborsi</t>
        </is>
      </c>
      <c r="C7" s="10" t="n">
        <v>0</v>
      </c>
      <c r="D7" s="10" t="n">
        <v>0</v>
      </c>
      <c r="G7" s="15" t="inlineStr">
        <is>
          <t>Risparmio netto</t>
        </is>
      </c>
      <c r="H7" s="16">
        <f>D9-D23</f>
        <v/>
      </c>
    </row>
    <row r="8">
      <c r="B8" s="9" t="inlineStr">
        <is>
          <t>Altro</t>
        </is>
      </c>
      <c r="C8" s="10" t="n">
        <v>0</v>
      </c>
      <c r="D8" s="10" t="n">
        <v>0</v>
      </c>
      <c r="G8" s="15" t="inlineStr">
        <is>
          <t>Tasso di risparmio</t>
        </is>
      </c>
      <c r="H8" s="17">
        <f>IF(D9=0,0,(D9-D23)/D9)</f>
        <v/>
      </c>
    </row>
    <row r="9">
      <c r="B9" s="6" t="inlineStr">
        <is>
          <t>Totale entrate</t>
        </is>
      </c>
      <c r="C9" s="18">
        <f>SUM(C5:C8)</f>
        <v/>
      </c>
      <c r="D9" s="18">
        <f>SUM(D5:D8)</f>
        <v/>
      </c>
    </row>
    <row r="10">
      <c r="B10" s="8" t="inlineStr">
        <is>
          <t>SPESE</t>
        </is>
      </c>
      <c r="C10" s="8" t="inlineStr">
        <is>
          <t>Budget</t>
        </is>
      </c>
      <c r="D10" s="8" t="inlineStr">
        <is>
          <t>Speso</t>
        </is>
      </c>
      <c r="E10" s="8" t="inlineStr">
        <is>
          <t>Differenza</t>
        </is>
      </c>
    </row>
    <row r="11">
      <c r="B11" s="9" t="inlineStr">
        <is>
          <t>Affitto/Mutuo</t>
        </is>
      </c>
      <c r="C11" s="10">
        <f>Setup!C7</f>
        <v/>
      </c>
      <c r="D11" s="10" t="n">
        <v>0</v>
      </c>
      <c r="E11" s="10">
        <f>C11-D11</f>
        <v/>
      </c>
    </row>
    <row r="12">
      <c r="B12" s="9" t="inlineStr">
        <is>
          <t>Bollette</t>
        </is>
      </c>
      <c r="C12" s="10">
        <f>Setup!C8</f>
        <v/>
      </c>
      <c r="D12" s="10" t="n">
        <v>0</v>
      </c>
      <c r="E12" s="10">
        <f>C12-D12</f>
        <v/>
      </c>
    </row>
    <row r="13">
      <c r="B13" s="9" t="inlineStr">
        <is>
          <t>Spesa alimentare</t>
        </is>
      </c>
      <c r="C13" s="10">
        <f>Setup!C9</f>
        <v/>
      </c>
      <c r="D13" s="10" t="n">
        <v>0</v>
      </c>
      <c r="E13" s="10">
        <f>C13-D13</f>
        <v/>
      </c>
    </row>
    <row r="14">
      <c r="B14" s="9" t="inlineStr">
        <is>
          <t>Trasporti</t>
        </is>
      </c>
      <c r="C14" s="10">
        <f>Setup!C10</f>
        <v/>
      </c>
      <c r="D14" s="10" t="n">
        <v>0</v>
      </c>
      <c r="E14" s="10">
        <f>C14-D14</f>
        <v/>
      </c>
    </row>
    <row r="15">
      <c r="B15" s="9" t="inlineStr">
        <is>
          <t>Salute</t>
        </is>
      </c>
      <c r="C15" s="10">
        <f>Setup!C11</f>
        <v/>
      </c>
      <c r="D15" s="10" t="n">
        <v>0</v>
      </c>
      <c r="E15" s="10">
        <f>C15-D15</f>
        <v/>
      </c>
    </row>
    <row r="16">
      <c r="B16" s="9" t="inlineStr">
        <is>
          <t>Assicurazioni</t>
        </is>
      </c>
      <c r="C16" s="10">
        <f>Setup!C12</f>
        <v/>
      </c>
      <c r="D16" s="10" t="n">
        <v>0</v>
      </c>
      <c r="E16" s="10">
        <f>C16-D16</f>
        <v/>
      </c>
    </row>
    <row r="17">
      <c r="B17" s="9" t="inlineStr">
        <is>
          <t>Abbonamenti</t>
        </is>
      </c>
      <c r="C17" s="10">
        <f>Setup!C13</f>
        <v/>
      </c>
      <c r="D17" s="10" t="n">
        <v>0</v>
      </c>
      <c r="E17" s="10">
        <f>C17-D17</f>
        <v/>
      </c>
    </row>
    <row r="18">
      <c r="B18" s="9" t="inlineStr">
        <is>
          <t>Ristoranti/Bar</t>
        </is>
      </c>
      <c r="C18" s="10">
        <f>Setup!C14</f>
        <v/>
      </c>
      <c r="D18" s="10" t="n">
        <v>0</v>
      </c>
      <c r="E18" s="10">
        <f>C18-D18</f>
        <v/>
      </c>
    </row>
    <row r="19">
      <c r="B19" s="9" t="inlineStr">
        <is>
          <t>Shopping</t>
        </is>
      </c>
      <c r="C19" s="10">
        <f>Setup!C15</f>
        <v/>
      </c>
      <c r="D19" s="10" t="n">
        <v>0</v>
      </c>
      <c r="E19" s="10">
        <f>C19-D19</f>
        <v/>
      </c>
    </row>
    <row r="20">
      <c r="B20" s="9" t="inlineStr">
        <is>
          <t>Tempo libero</t>
        </is>
      </c>
      <c r="C20" s="10">
        <f>Setup!C16</f>
        <v/>
      </c>
      <c r="D20" s="10" t="n">
        <v>0</v>
      </c>
      <c r="E20" s="10">
        <f>C20-D20</f>
        <v/>
      </c>
    </row>
    <row r="21">
      <c r="B21" s="9" t="inlineStr">
        <is>
          <t>Risparmio/Investimenti</t>
        </is>
      </c>
      <c r="C21" s="10">
        <f>Setup!C17</f>
        <v/>
      </c>
      <c r="D21" s="10" t="n">
        <v>0</v>
      </c>
      <c r="E21" s="10">
        <f>C21-D21</f>
        <v/>
      </c>
    </row>
    <row r="22">
      <c r="B22" s="9" t="inlineStr">
        <is>
          <t>Altro</t>
        </is>
      </c>
      <c r="C22" s="10">
        <f>Setup!C18</f>
        <v/>
      </c>
      <c r="D22" s="10" t="n">
        <v>0</v>
      </c>
      <c r="E22" s="10">
        <f>C22-D22</f>
        <v/>
      </c>
    </row>
    <row r="23">
      <c r="B23" s="6" t="inlineStr">
        <is>
          <t>Totale spese</t>
        </is>
      </c>
      <c r="C23" s="18">
        <f>SUM(C11:C22)</f>
        <v/>
      </c>
      <c r="D23" s="18">
        <f>SUM(D11:D22)</f>
        <v/>
      </c>
      <c r="E23" s="18">
        <f>SUM(E11:E22)</f>
        <v/>
      </c>
    </row>
  </sheetData>
  <mergeCells count="2">
    <mergeCell ref="G4:H4"/>
    <mergeCell ref="B2:E2"/>
  </mergeCells>
  <conditionalFormatting sqref="E11:E22">
    <cfRule type="cellIs" priority="1" operator="lessThan" dxfId="0">
      <formula>0</formula>
    </cfRule>
    <cfRule type="cellIs" priority="2" operator="greaterThanOrEqual" dxfId="1">
      <formula>0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H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16" customWidth="1" min="3" max="3"/>
    <col width="16" customWidth="1" min="4" max="4"/>
    <col width="16" customWidth="1" min="5" max="5"/>
    <col width="4" customWidth="1" min="6" max="6"/>
    <col width="22" customWidth="1" min="7" max="7"/>
    <col width="16" customWidth="1" min="8" max="8"/>
  </cols>
  <sheetData>
    <row r="2">
      <c r="B2" s="5" t="inlineStr">
        <is>
          <t xml:space="preserve">  Agosto</t>
        </is>
      </c>
    </row>
    <row r="4">
      <c r="B4" s="8" t="inlineStr">
        <is>
          <t>ENTRATE</t>
        </is>
      </c>
      <c r="C4" s="8" t="inlineStr">
        <is>
          <t>Pianificato</t>
        </is>
      </c>
      <c r="D4" s="8" t="inlineStr">
        <is>
          <t>Effettivo</t>
        </is>
      </c>
      <c r="G4" s="8" t="inlineStr">
        <is>
          <t>RIEPILOGO MESE</t>
        </is>
      </c>
      <c r="H4" s="13" t="n"/>
    </row>
    <row r="5">
      <c r="B5" s="9" t="inlineStr">
        <is>
          <t>Stipendio</t>
        </is>
      </c>
      <c r="C5" s="10" t="n">
        <v>0</v>
      </c>
      <c r="D5" s="10" t="n">
        <v>0</v>
      </c>
      <c r="G5" s="9" t="inlineStr">
        <is>
          <t>Entrate</t>
        </is>
      </c>
      <c r="H5" s="14">
        <f>D9</f>
        <v/>
      </c>
    </row>
    <row r="6">
      <c r="B6" s="9" t="inlineStr">
        <is>
          <t>Entrate extra</t>
        </is>
      </c>
      <c r="C6" s="10" t="n">
        <v>0</v>
      </c>
      <c r="D6" s="10" t="n">
        <v>0</v>
      </c>
      <c r="G6" s="9" t="inlineStr">
        <is>
          <t>Spese</t>
        </is>
      </c>
      <c r="H6" s="14">
        <f>D23</f>
        <v/>
      </c>
    </row>
    <row r="7">
      <c r="B7" s="9" t="inlineStr">
        <is>
          <t>Rimborsi</t>
        </is>
      </c>
      <c r="C7" s="10" t="n">
        <v>0</v>
      </c>
      <c r="D7" s="10" t="n">
        <v>0</v>
      </c>
      <c r="G7" s="15" t="inlineStr">
        <is>
          <t>Risparmio netto</t>
        </is>
      </c>
      <c r="H7" s="16">
        <f>D9-D23</f>
        <v/>
      </c>
    </row>
    <row r="8">
      <c r="B8" s="9" t="inlineStr">
        <is>
          <t>Altro</t>
        </is>
      </c>
      <c r="C8" s="10" t="n">
        <v>0</v>
      </c>
      <c r="D8" s="10" t="n">
        <v>0</v>
      </c>
      <c r="G8" s="15" t="inlineStr">
        <is>
          <t>Tasso di risparmio</t>
        </is>
      </c>
      <c r="H8" s="17">
        <f>IF(D9=0,0,(D9-D23)/D9)</f>
        <v/>
      </c>
    </row>
    <row r="9">
      <c r="B9" s="6" t="inlineStr">
        <is>
          <t>Totale entrate</t>
        </is>
      </c>
      <c r="C9" s="18">
        <f>SUM(C5:C8)</f>
        <v/>
      </c>
      <c r="D9" s="18">
        <f>SUM(D5:D8)</f>
        <v/>
      </c>
    </row>
    <row r="10">
      <c r="B10" s="8" t="inlineStr">
        <is>
          <t>SPESE</t>
        </is>
      </c>
      <c r="C10" s="8" t="inlineStr">
        <is>
          <t>Budget</t>
        </is>
      </c>
      <c r="D10" s="8" t="inlineStr">
        <is>
          <t>Speso</t>
        </is>
      </c>
      <c r="E10" s="8" t="inlineStr">
        <is>
          <t>Differenza</t>
        </is>
      </c>
    </row>
    <row r="11">
      <c r="B11" s="9" t="inlineStr">
        <is>
          <t>Affitto/Mutuo</t>
        </is>
      </c>
      <c r="C11" s="10">
        <f>Setup!C7</f>
        <v/>
      </c>
      <c r="D11" s="10" t="n">
        <v>0</v>
      </c>
      <c r="E11" s="10">
        <f>C11-D11</f>
        <v/>
      </c>
    </row>
    <row r="12">
      <c r="B12" s="9" t="inlineStr">
        <is>
          <t>Bollette</t>
        </is>
      </c>
      <c r="C12" s="10">
        <f>Setup!C8</f>
        <v/>
      </c>
      <c r="D12" s="10" t="n">
        <v>0</v>
      </c>
      <c r="E12" s="10">
        <f>C12-D12</f>
        <v/>
      </c>
    </row>
    <row r="13">
      <c r="B13" s="9" t="inlineStr">
        <is>
          <t>Spesa alimentare</t>
        </is>
      </c>
      <c r="C13" s="10">
        <f>Setup!C9</f>
        <v/>
      </c>
      <c r="D13" s="10" t="n">
        <v>0</v>
      </c>
      <c r="E13" s="10">
        <f>C13-D13</f>
        <v/>
      </c>
    </row>
    <row r="14">
      <c r="B14" s="9" t="inlineStr">
        <is>
          <t>Trasporti</t>
        </is>
      </c>
      <c r="C14" s="10">
        <f>Setup!C10</f>
        <v/>
      </c>
      <c r="D14" s="10" t="n">
        <v>0</v>
      </c>
      <c r="E14" s="10">
        <f>C14-D14</f>
        <v/>
      </c>
    </row>
    <row r="15">
      <c r="B15" s="9" t="inlineStr">
        <is>
          <t>Salute</t>
        </is>
      </c>
      <c r="C15" s="10">
        <f>Setup!C11</f>
        <v/>
      </c>
      <c r="D15" s="10" t="n">
        <v>0</v>
      </c>
      <c r="E15" s="10">
        <f>C15-D15</f>
        <v/>
      </c>
    </row>
    <row r="16">
      <c r="B16" s="9" t="inlineStr">
        <is>
          <t>Assicurazioni</t>
        </is>
      </c>
      <c r="C16" s="10">
        <f>Setup!C12</f>
        <v/>
      </c>
      <c r="D16" s="10" t="n">
        <v>0</v>
      </c>
      <c r="E16" s="10">
        <f>C16-D16</f>
        <v/>
      </c>
    </row>
    <row r="17">
      <c r="B17" s="9" t="inlineStr">
        <is>
          <t>Abbonamenti</t>
        </is>
      </c>
      <c r="C17" s="10">
        <f>Setup!C13</f>
        <v/>
      </c>
      <c r="D17" s="10" t="n">
        <v>0</v>
      </c>
      <c r="E17" s="10">
        <f>C17-D17</f>
        <v/>
      </c>
    </row>
    <row r="18">
      <c r="B18" s="9" t="inlineStr">
        <is>
          <t>Ristoranti/Bar</t>
        </is>
      </c>
      <c r="C18" s="10">
        <f>Setup!C14</f>
        <v/>
      </c>
      <c r="D18" s="10" t="n">
        <v>0</v>
      </c>
      <c r="E18" s="10">
        <f>C18-D18</f>
        <v/>
      </c>
    </row>
    <row r="19">
      <c r="B19" s="9" t="inlineStr">
        <is>
          <t>Shopping</t>
        </is>
      </c>
      <c r="C19" s="10">
        <f>Setup!C15</f>
        <v/>
      </c>
      <c r="D19" s="10" t="n">
        <v>0</v>
      </c>
      <c r="E19" s="10">
        <f>C19-D19</f>
        <v/>
      </c>
    </row>
    <row r="20">
      <c r="B20" s="9" t="inlineStr">
        <is>
          <t>Tempo libero</t>
        </is>
      </c>
      <c r="C20" s="10">
        <f>Setup!C16</f>
        <v/>
      </c>
      <c r="D20" s="10" t="n">
        <v>0</v>
      </c>
      <c r="E20" s="10">
        <f>C20-D20</f>
        <v/>
      </c>
    </row>
    <row r="21">
      <c r="B21" s="9" t="inlineStr">
        <is>
          <t>Risparmio/Investimenti</t>
        </is>
      </c>
      <c r="C21" s="10">
        <f>Setup!C17</f>
        <v/>
      </c>
      <c r="D21" s="10" t="n">
        <v>0</v>
      </c>
      <c r="E21" s="10">
        <f>C21-D21</f>
        <v/>
      </c>
    </row>
    <row r="22">
      <c r="B22" s="9" t="inlineStr">
        <is>
          <t>Altro</t>
        </is>
      </c>
      <c r="C22" s="10">
        <f>Setup!C18</f>
        <v/>
      </c>
      <c r="D22" s="10" t="n">
        <v>0</v>
      </c>
      <c r="E22" s="10">
        <f>C22-D22</f>
        <v/>
      </c>
    </row>
    <row r="23">
      <c r="B23" s="6" t="inlineStr">
        <is>
          <t>Totale spese</t>
        </is>
      </c>
      <c r="C23" s="18">
        <f>SUM(C11:C22)</f>
        <v/>
      </c>
      <c r="D23" s="18">
        <f>SUM(D11:D22)</f>
        <v/>
      </c>
      <c r="E23" s="18">
        <f>SUM(E11:E22)</f>
        <v/>
      </c>
    </row>
  </sheetData>
  <mergeCells count="2">
    <mergeCell ref="G4:H4"/>
    <mergeCell ref="B2:E2"/>
  </mergeCells>
  <conditionalFormatting sqref="E11:E22">
    <cfRule type="cellIs" priority="1" operator="lessThan" dxfId="0">
      <formula>0</formula>
    </cfRule>
    <cfRule type="cellIs" priority="2" operator="greaterThanOrEqual" dxfId="1">
      <formula>0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H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16" customWidth="1" min="3" max="3"/>
    <col width="16" customWidth="1" min="4" max="4"/>
    <col width="16" customWidth="1" min="5" max="5"/>
    <col width="4" customWidth="1" min="6" max="6"/>
    <col width="22" customWidth="1" min="7" max="7"/>
    <col width="16" customWidth="1" min="8" max="8"/>
  </cols>
  <sheetData>
    <row r="2">
      <c r="B2" s="5" t="inlineStr">
        <is>
          <t xml:space="preserve">  Settembre</t>
        </is>
      </c>
    </row>
    <row r="4">
      <c r="B4" s="8" t="inlineStr">
        <is>
          <t>ENTRATE</t>
        </is>
      </c>
      <c r="C4" s="8" t="inlineStr">
        <is>
          <t>Pianificato</t>
        </is>
      </c>
      <c r="D4" s="8" t="inlineStr">
        <is>
          <t>Effettivo</t>
        </is>
      </c>
      <c r="G4" s="8" t="inlineStr">
        <is>
          <t>RIEPILOGO MESE</t>
        </is>
      </c>
      <c r="H4" s="13" t="n"/>
    </row>
    <row r="5">
      <c r="B5" s="9" t="inlineStr">
        <is>
          <t>Stipendio</t>
        </is>
      </c>
      <c r="C5" s="10" t="n">
        <v>0</v>
      </c>
      <c r="D5" s="10" t="n">
        <v>0</v>
      </c>
      <c r="G5" s="9" t="inlineStr">
        <is>
          <t>Entrate</t>
        </is>
      </c>
      <c r="H5" s="14">
        <f>D9</f>
        <v/>
      </c>
    </row>
    <row r="6">
      <c r="B6" s="9" t="inlineStr">
        <is>
          <t>Entrate extra</t>
        </is>
      </c>
      <c r="C6" s="10" t="n">
        <v>0</v>
      </c>
      <c r="D6" s="10" t="n">
        <v>0</v>
      </c>
      <c r="G6" s="9" t="inlineStr">
        <is>
          <t>Spese</t>
        </is>
      </c>
      <c r="H6" s="14">
        <f>D23</f>
        <v/>
      </c>
    </row>
    <row r="7">
      <c r="B7" s="9" t="inlineStr">
        <is>
          <t>Rimborsi</t>
        </is>
      </c>
      <c r="C7" s="10" t="n">
        <v>0</v>
      </c>
      <c r="D7" s="10" t="n">
        <v>0</v>
      </c>
      <c r="G7" s="15" t="inlineStr">
        <is>
          <t>Risparmio netto</t>
        </is>
      </c>
      <c r="H7" s="16">
        <f>D9-D23</f>
        <v/>
      </c>
    </row>
    <row r="8">
      <c r="B8" s="9" t="inlineStr">
        <is>
          <t>Altro</t>
        </is>
      </c>
      <c r="C8" s="10" t="n">
        <v>0</v>
      </c>
      <c r="D8" s="10" t="n">
        <v>0</v>
      </c>
      <c r="G8" s="15" t="inlineStr">
        <is>
          <t>Tasso di risparmio</t>
        </is>
      </c>
      <c r="H8" s="17">
        <f>IF(D9=0,0,(D9-D23)/D9)</f>
        <v/>
      </c>
    </row>
    <row r="9">
      <c r="B9" s="6" t="inlineStr">
        <is>
          <t>Totale entrate</t>
        </is>
      </c>
      <c r="C9" s="18">
        <f>SUM(C5:C8)</f>
        <v/>
      </c>
      <c r="D9" s="18">
        <f>SUM(D5:D8)</f>
        <v/>
      </c>
    </row>
    <row r="10">
      <c r="B10" s="8" t="inlineStr">
        <is>
          <t>SPESE</t>
        </is>
      </c>
      <c r="C10" s="8" t="inlineStr">
        <is>
          <t>Budget</t>
        </is>
      </c>
      <c r="D10" s="8" t="inlineStr">
        <is>
          <t>Speso</t>
        </is>
      </c>
      <c r="E10" s="8" t="inlineStr">
        <is>
          <t>Differenza</t>
        </is>
      </c>
    </row>
    <row r="11">
      <c r="B11" s="9" t="inlineStr">
        <is>
          <t>Affitto/Mutuo</t>
        </is>
      </c>
      <c r="C11" s="10">
        <f>Setup!C7</f>
        <v/>
      </c>
      <c r="D11" s="10" t="n">
        <v>0</v>
      </c>
      <c r="E11" s="10">
        <f>C11-D11</f>
        <v/>
      </c>
    </row>
    <row r="12">
      <c r="B12" s="9" t="inlineStr">
        <is>
          <t>Bollette</t>
        </is>
      </c>
      <c r="C12" s="10">
        <f>Setup!C8</f>
        <v/>
      </c>
      <c r="D12" s="10" t="n">
        <v>0</v>
      </c>
      <c r="E12" s="10">
        <f>C12-D12</f>
        <v/>
      </c>
    </row>
    <row r="13">
      <c r="B13" s="9" t="inlineStr">
        <is>
          <t>Spesa alimentare</t>
        </is>
      </c>
      <c r="C13" s="10">
        <f>Setup!C9</f>
        <v/>
      </c>
      <c r="D13" s="10" t="n">
        <v>0</v>
      </c>
      <c r="E13" s="10">
        <f>C13-D13</f>
        <v/>
      </c>
    </row>
    <row r="14">
      <c r="B14" s="9" t="inlineStr">
        <is>
          <t>Trasporti</t>
        </is>
      </c>
      <c r="C14" s="10">
        <f>Setup!C10</f>
        <v/>
      </c>
      <c r="D14" s="10" t="n">
        <v>0</v>
      </c>
      <c r="E14" s="10">
        <f>C14-D14</f>
        <v/>
      </c>
    </row>
    <row r="15">
      <c r="B15" s="9" t="inlineStr">
        <is>
          <t>Salute</t>
        </is>
      </c>
      <c r="C15" s="10">
        <f>Setup!C11</f>
        <v/>
      </c>
      <c r="D15" s="10" t="n">
        <v>0</v>
      </c>
      <c r="E15" s="10">
        <f>C15-D15</f>
        <v/>
      </c>
    </row>
    <row r="16">
      <c r="B16" s="9" t="inlineStr">
        <is>
          <t>Assicurazioni</t>
        </is>
      </c>
      <c r="C16" s="10">
        <f>Setup!C12</f>
        <v/>
      </c>
      <c r="D16" s="10" t="n">
        <v>0</v>
      </c>
      <c r="E16" s="10">
        <f>C16-D16</f>
        <v/>
      </c>
    </row>
    <row r="17">
      <c r="B17" s="9" t="inlineStr">
        <is>
          <t>Abbonamenti</t>
        </is>
      </c>
      <c r="C17" s="10">
        <f>Setup!C13</f>
        <v/>
      </c>
      <c r="D17" s="10" t="n">
        <v>0</v>
      </c>
      <c r="E17" s="10">
        <f>C17-D17</f>
        <v/>
      </c>
    </row>
    <row r="18">
      <c r="B18" s="9" t="inlineStr">
        <is>
          <t>Ristoranti/Bar</t>
        </is>
      </c>
      <c r="C18" s="10">
        <f>Setup!C14</f>
        <v/>
      </c>
      <c r="D18" s="10" t="n">
        <v>0</v>
      </c>
      <c r="E18" s="10">
        <f>C18-D18</f>
        <v/>
      </c>
    </row>
    <row r="19">
      <c r="B19" s="9" t="inlineStr">
        <is>
          <t>Shopping</t>
        </is>
      </c>
      <c r="C19" s="10">
        <f>Setup!C15</f>
        <v/>
      </c>
      <c r="D19" s="10" t="n">
        <v>0</v>
      </c>
      <c r="E19" s="10">
        <f>C19-D19</f>
        <v/>
      </c>
    </row>
    <row r="20">
      <c r="B20" s="9" t="inlineStr">
        <is>
          <t>Tempo libero</t>
        </is>
      </c>
      <c r="C20" s="10">
        <f>Setup!C16</f>
        <v/>
      </c>
      <c r="D20" s="10" t="n">
        <v>0</v>
      </c>
      <c r="E20" s="10">
        <f>C20-D20</f>
        <v/>
      </c>
    </row>
    <row r="21">
      <c r="B21" s="9" t="inlineStr">
        <is>
          <t>Risparmio/Investimenti</t>
        </is>
      </c>
      <c r="C21" s="10">
        <f>Setup!C17</f>
        <v/>
      </c>
      <c r="D21" s="10" t="n">
        <v>0</v>
      </c>
      <c r="E21" s="10">
        <f>C21-D21</f>
        <v/>
      </c>
    </row>
    <row r="22">
      <c r="B22" s="9" t="inlineStr">
        <is>
          <t>Altro</t>
        </is>
      </c>
      <c r="C22" s="10">
        <f>Setup!C18</f>
        <v/>
      </c>
      <c r="D22" s="10" t="n">
        <v>0</v>
      </c>
      <c r="E22" s="10">
        <f>C22-D22</f>
        <v/>
      </c>
    </row>
    <row r="23">
      <c r="B23" s="6" t="inlineStr">
        <is>
          <t>Totale spese</t>
        </is>
      </c>
      <c r="C23" s="18">
        <f>SUM(C11:C22)</f>
        <v/>
      </c>
      <c r="D23" s="18">
        <f>SUM(D11:D22)</f>
        <v/>
      </c>
      <c r="E23" s="18">
        <f>SUM(E11:E22)</f>
        <v/>
      </c>
    </row>
  </sheetData>
  <mergeCells count="2">
    <mergeCell ref="G4:H4"/>
    <mergeCell ref="B2:E2"/>
  </mergeCells>
  <conditionalFormatting sqref="E11:E22">
    <cfRule type="cellIs" priority="1" operator="lessThan" dxfId="0">
      <formula>0</formula>
    </cfRule>
    <cfRule type="cellIs" priority="2" operator="greaterThanOrEqual" dxfId="1">
      <formula>0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H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16" customWidth="1" min="3" max="3"/>
    <col width="16" customWidth="1" min="4" max="4"/>
    <col width="16" customWidth="1" min="5" max="5"/>
    <col width="4" customWidth="1" min="6" max="6"/>
    <col width="22" customWidth="1" min="7" max="7"/>
    <col width="16" customWidth="1" min="8" max="8"/>
  </cols>
  <sheetData>
    <row r="2">
      <c r="B2" s="5" t="inlineStr">
        <is>
          <t xml:space="preserve">  Ottobre</t>
        </is>
      </c>
    </row>
    <row r="4">
      <c r="B4" s="8" t="inlineStr">
        <is>
          <t>ENTRATE</t>
        </is>
      </c>
      <c r="C4" s="8" t="inlineStr">
        <is>
          <t>Pianificato</t>
        </is>
      </c>
      <c r="D4" s="8" t="inlineStr">
        <is>
          <t>Effettivo</t>
        </is>
      </c>
      <c r="G4" s="8" t="inlineStr">
        <is>
          <t>RIEPILOGO MESE</t>
        </is>
      </c>
      <c r="H4" s="13" t="n"/>
    </row>
    <row r="5">
      <c r="B5" s="9" t="inlineStr">
        <is>
          <t>Stipendio</t>
        </is>
      </c>
      <c r="C5" s="10" t="n">
        <v>0</v>
      </c>
      <c r="D5" s="10" t="n">
        <v>0</v>
      </c>
      <c r="G5" s="9" t="inlineStr">
        <is>
          <t>Entrate</t>
        </is>
      </c>
      <c r="H5" s="14">
        <f>D9</f>
        <v/>
      </c>
    </row>
    <row r="6">
      <c r="B6" s="9" t="inlineStr">
        <is>
          <t>Entrate extra</t>
        </is>
      </c>
      <c r="C6" s="10" t="n">
        <v>0</v>
      </c>
      <c r="D6" s="10" t="n">
        <v>0</v>
      </c>
      <c r="G6" s="9" t="inlineStr">
        <is>
          <t>Spese</t>
        </is>
      </c>
      <c r="H6" s="14">
        <f>D23</f>
        <v/>
      </c>
    </row>
    <row r="7">
      <c r="B7" s="9" t="inlineStr">
        <is>
          <t>Rimborsi</t>
        </is>
      </c>
      <c r="C7" s="10" t="n">
        <v>0</v>
      </c>
      <c r="D7" s="10" t="n">
        <v>0</v>
      </c>
      <c r="G7" s="15" t="inlineStr">
        <is>
          <t>Risparmio netto</t>
        </is>
      </c>
      <c r="H7" s="16">
        <f>D9-D23</f>
        <v/>
      </c>
    </row>
    <row r="8">
      <c r="B8" s="9" t="inlineStr">
        <is>
          <t>Altro</t>
        </is>
      </c>
      <c r="C8" s="10" t="n">
        <v>0</v>
      </c>
      <c r="D8" s="10" t="n">
        <v>0</v>
      </c>
      <c r="G8" s="15" t="inlineStr">
        <is>
          <t>Tasso di risparmio</t>
        </is>
      </c>
      <c r="H8" s="17">
        <f>IF(D9=0,0,(D9-D23)/D9)</f>
        <v/>
      </c>
    </row>
    <row r="9">
      <c r="B9" s="6" t="inlineStr">
        <is>
          <t>Totale entrate</t>
        </is>
      </c>
      <c r="C9" s="18">
        <f>SUM(C5:C8)</f>
        <v/>
      </c>
      <c r="D9" s="18">
        <f>SUM(D5:D8)</f>
        <v/>
      </c>
    </row>
    <row r="10">
      <c r="B10" s="8" t="inlineStr">
        <is>
          <t>SPESE</t>
        </is>
      </c>
      <c r="C10" s="8" t="inlineStr">
        <is>
          <t>Budget</t>
        </is>
      </c>
      <c r="D10" s="8" t="inlineStr">
        <is>
          <t>Speso</t>
        </is>
      </c>
      <c r="E10" s="8" t="inlineStr">
        <is>
          <t>Differenza</t>
        </is>
      </c>
    </row>
    <row r="11">
      <c r="B11" s="9" t="inlineStr">
        <is>
          <t>Affitto/Mutuo</t>
        </is>
      </c>
      <c r="C11" s="10">
        <f>Setup!C7</f>
        <v/>
      </c>
      <c r="D11" s="10" t="n">
        <v>0</v>
      </c>
      <c r="E11" s="10">
        <f>C11-D11</f>
        <v/>
      </c>
    </row>
    <row r="12">
      <c r="B12" s="9" t="inlineStr">
        <is>
          <t>Bollette</t>
        </is>
      </c>
      <c r="C12" s="10">
        <f>Setup!C8</f>
        <v/>
      </c>
      <c r="D12" s="10" t="n">
        <v>0</v>
      </c>
      <c r="E12" s="10">
        <f>C12-D12</f>
        <v/>
      </c>
    </row>
    <row r="13">
      <c r="B13" s="9" t="inlineStr">
        <is>
          <t>Spesa alimentare</t>
        </is>
      </c>
      <c r="C13" s="10">
        <f>Setup!C9</f>
        <v/>
      </c>
      <c r="D13" s="10" t="n">
        <v>0</v>
      </c>
      <c r="E13" s="10">
        <f>C13-D13</f>
        <v/>
      </c>
    </row>
    <row r="14">
      <c r="B14" s="9" t="inlineStr">
        <is>
          <t>Trasporti</t>
        </is>
      </c>
      <c r="C14" s="10">
        <f>Setup!C10</f>
        <v/>
      </c>
      <c r="D14" s="10" t="n">
        <v>0</v>
      </c>
      <c r="E14" s="10">
        <f>C14-D14</f>
        <v/>
      </c>
    </row>
    <row r="15">
      <c r="B15" s="9" t="inlineStr">
        <is>
          <t>Salute</t>
        </is>
      </c>
      <c r="C15" s="10">
        <f>Setup!C11</f>
        <v/>
      </c>
      <c r="D15" s="10" t="n">
        <v>0</v>
      </c>
      <c r="E15" s="10">
        <f>C15-D15</f>
        <v/>
      </c>
    </row>
    <row r="16">
      <c r="B16" s="9" t="inlineStr">
        <is>
          <t>Assicurazioni</t>
        </is>
      </c>
      <c r="C16" s="10">
        <f>Setup!C12</f>
        <v/>
      </c>
      <c r="D16" s="10" t="n">
        <v>0</v>
      </c>
      <c r="E16" s="10">
        <f>C16-D16</f>
        <v/>
      </c>
    </row>
    <row r="17">
      <c r="B17" s="9" t="inlineStr">
        <is>
          <t>Abbonamenti</t>
        </is>
      </c>
      <c r="C17" s="10">
        <f>Setup!C13</f>
        <v/>
      </c>
      <c r="D17" s="10" t="n">
        <v>0</v>
      </c>
      <c r="E17" s="10">
        <f>C17-D17</f>
        <v/>
      </c>
    </row>
    <row r="18">
      <c r="B18" s="9" t="inlineStr">
        <is>
          <t>Ristoranti/Bar</t>
        </is>
      </c>
      <c r="C18" s="10">
        <f>Setup!C14</f>
        <v/>
      </c>
      <c r="D18" s="10" t="n">
        <v>0</v>
      </c>
      <c r="E18" s="10">
        <f>C18-D18</f>
        <v/>
      </c>
    </row>
    <row r="19">
      <c r="B19" s="9" t="inlineStr">
        <is>
          <t>Shopping</t>
        </is>
      </c>
      <c r="C19" s="10">
        <f>Setup!C15</f>
        <v/>
      </c>
      <c r="D19" s="10" t="n">
        <v>0</v>
      </c>
      <c r="E19" s="10">
        <f>C19-D19</f>
        <v/>
      </c>
    </row>
    <row r="20">
      <c r="B20" s="9" t="inlineStr">
        <is>
          <t>Tempo libero</t>
        </is>
      </c>
      <c r="C20" s="10">
        <f>Setup!C16</f>
        <v/>
      </c>
      <c r="D20" s="10" t="n">
        <v>0</v>
      </c>
      <c r="E20" s="10">
        <f>C20-D20</f>
        <v/>
      </c>
    </row>
    <row r="21">
      <c r="B21" s="9" t="inlineStr">
        <is>
          <t>Risparmio/Investimenti</t>
        </is>
      </c>
      <c r="C21" s="10">
        <f>Setup!C17</f>
        <v/>
      </c>
      <c r="D21" s="10" t="n">
        <v>0</v>
      </c>
      <c r="E21" s="10">
        <f>C21-D21</f>
        <v/>
      </c>
    </row>
    <row r="22">
      <c r="B22" s="9" t="inlineStr">
        <is>
          <t>Altro</t>
        </is>
      </c>
      <c r="C22" s="10">
        <f>Setup!C18</f>
        <v/>
      </c>
      <c r="D22" s="10" t="n">
        <v>0</v>
      </c>
      <c r="E22" s="10">
        <f>C22-D22</f>
        <v/>
      </c>
    </row>
    <row r="23">
      <c r="B23" s="6" t="inlineStr">
        <is>
          <t>Totale spese</t>
        </is>
      </c>
      <c r="C23" s="18">
        <f>SUM(C11:C22)</f>
        <v/>
      </c>
      <c r="D23" s="18">
        <f>SUM(D11:D22)</f>
        <v/>
      </c>
      <c r="E23" s="18">
        <f>SUM(E11:E22)</f>
        <v/>
      </c>
    </row>
  </sheetData>
  <mergeCells count="2">
    <mergeCell ref="G4:H4"/>
    <mergeCell ref="B2:E2"/>
  </mergeCells>
  <conditionalFormatting sqref="E11:E22">
    <cfRule type="cellIs" priority="1" operator="lessThan" dxfId="0">
      <formula>0</formula>
    </cfRule>
    <cfRule type="cellIs" priority="2" operator="greaterThanOrEqual" dxfId="1">
      <formula>0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H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16" customWidth="1" min="3" max="3"/>
    <col width="16" customWidth="1" min="4" max="4"/>
    <col width="16" customWidth="1" min="5" max="5"/>
    <col width="4" customWidth="1" min="6" max="6"/>
    <col width="22" customWidth="1" min="7" max="7"/>
    <col width="16" customWidth="1" min="8" max="8"/>
  </cols>
  <sheetData>
    <row r="2">
      <c r="B2" s="5" t="inlineStr">
        <is>
          <t xml:space="preserve">  Novembre</t>
        </is>
      </c>
    </row>
    <row r="4">
      <c r="B4" s="8" t="inlineStr">
        <is>
          <t>ENTRATE</t>
        </is>
      </c>
      <c r="C4" s="8" t="inlineStr">
        <is>
          <t>Pianificato</t>
        </is>
      </c>
      <c r="D4" s="8" t="inlineStr">
        <is>
          <t>Effettivo</t>
        </is>
      </c>
      <c r="G4" s="8" t="inlineStr">
        <is>
          <t>RIEPILOGO MESE</t>
        </is>
      </c>
      <c r="H4" s="13" t="n"/>
    </row>
    <row r="5">
      <c r="B5" s="9" t="inlineStr">
        <is>
          <t>Stipendio</t>
        </is>
      </c>
      <c r="C5" s="10" t="n">
        <v>0</v>
      </c>
      <c r="D5" s="10" t="n">
        <v>0</v>
      </c>
      <c r="G5" s="9" t="inlineStr">
        <is>
          <t>Entrate</t>
        </is>
      </c>
      <c r="H5" s="14">
        <f>D9</f>
        <v/>
      </c>
    </row>
    <row r="6">
      <c r="B6" s="9" t="inlineStr">
        <is>
          <t>Entrate extra</t>
        </is>
      </c>
      <c r="C6" s="10" t="n">
        <v>0</v>
      </c>
      <c r="D6" s="10" t="n">
        <v>0</v>
      </c>
      <c r="G6" s="9" t="inlineStr">
        <is>
          <t>Spese</t>
        </is>
      </c>
      <c r="H6" s="14">
        <f>D23</f>
        <v/>
      </c>
    </row>
    <row r="7">
      <c r="B7" s="9" t="inlineStr">
        <is>
          <t>Rimborsi</t>
        </is>
      </c>
      <c r="C7" s="10" t="n">
        <v>0</v>
      </c>
      <c r="D7" s="10" t="n">
        <v>0</v>
      </c>
      <c r="G7" s="15" t="inlineStr">
        <is>
          <t>Risparmio netto</t>
        </is>
      </c>
      <c r="H7" s="16">
        <f>D9-D23</f>
        <v/>
      </c>
    </row>
    <row r="8">
      <c r="B8" s="9" t="inlineStr">
        <is>
          <t>Altro</t>
        </is>
      </c>
      <c r="C8" s="10" t="n">
        <v>0</v>
      </c>
      <c r="D8" s="10" t="n">
        <v>0</v>
      </c>
      <c r="G8" s="15" t="inlineStr">
        <is>
          <t>Tasso di risparmio</t>
        </is>
      </c>
      <c r="H8" s="17">
        <f>IF(D9=0,0,(D9-D23)/D9)</f>
        <v/>
      </c>
    </row>
    <row r="9">
      <c r="B9" s="6" t="inlineStr">
        <is>
          <t>Totale entrate</t>
        </is>
      </c>
      <c r="C9" s="18">
        <f>SUM(C5:C8)</f>
        <v/>
      </c>
      <c r="D9" s="18">
        <f>SUM(D5:D8)</f>
        <v/>
      </c>
    </row>
    <row r="10">
      <c r="B10" s="8" t="inlineStr">
        <is>
          <t>SPESE</t>
        </is>
      </c>
      <c r="C10" s="8" t="inlineStr">
        <is>
          <t>Budget</t>
        </is>
      </c>
      <c r="D10" s="8" t="inlineStr">
        <is>
          <t>Speso</t>
        </is>
      </c>
      <c r="E10" s="8" t="inlineStr">
        <is>
          <t>Differenza</t>
        </is>
      </c>
    </row>
    <row r="11">
      <c r="B11" s="9" t="inlineStr">
        <is>
          <t>Affitto/Mutuo</t>
        </is>
      </c>
      <c r="C11" s="10">
        <f>Setup!C7</f>
        <v/>
      </c>
      <c r="D11" s="10" t="n">
        <v>0</v>
      </c>
      <c r="E11" s="10">
        <f>C11-D11</f>
        <v/>
      </c>
    </row>
    <row r="12">
      <c r="B12" s="9" t="inlineStr">
        <is>
          <t>Bollette</t>
        </is>
      </c>
      <c r="C12" s="10">
        <f>Setup!C8</f>
        <v/>
      </c>
      <c r="D12" s="10" t="n">
        <v>0</v>
      </c>
      <c r="E12" s="10">
        <f>C12-D12</f>
        <v/>
      </c>
    </row>
    <row r="13">
      <c r="B13" s="9" t="inlineStr">
        <is>
          <t>Spesa alimentare</t>
        </is>
      </c>
      <c r="C13" s="10">
        <f>Setup!C9</f>
        <v/>
      </c>
      <c r="D13" s="10" t="n">
        <v>0</v>
      </c>
      <c r="E13" s="10">
        <f>C13-D13</f>
        <v/>
      </c>
    </row>
    <row r="14">
      <c r="B14" s="9" t="inlineStr">
        <is>
          <t>Trasporti</t>
        </is>
      </c>
      <c r="C14" s="10">
        <f>Setup!C10</f>
        <v/>
      </c>
      <c r="D14" s="10" t="n">
        <v>0</v>
      </c>
      <c r="E14" s="10">
        <f>C14-D14</f>
        <v/>
      </c>
    </row>
    <row r="15">
      <c r="B15" s="9" t="inlineStr">
        <is>
          <t>Salute</t>
        </is>
      </c>
      <c r="C15" s="10">
        <f>Setup!C11</f>
        <v/>
      </c>
      <c r="D15" s="10" t="n">
        <v>0</v>
      </c>
      <c r="E15" s="10">
        <f>C15-D15</f>
        <v/>
      </c>
    </row>
    <row r="16">
      <c r="B16" s="9" t="inlineStr">
        <is>
          <t>Assicurazioni</t>
        </is>
      </c>
      <c r="C16" s="10">
        <f>Setup!C12</f>
        <v/>
      </c>
      <c r="D16" s="10" t="n">
        <v>0</v>
      </c>
      <c r="E16" s="10">
        <f>C16-D16</f>
        <v/>
      </c>
    </row>
    <row r="17">
      <c r="B17" s="9" t="inlineStr">
        <is>
          <t>Abbonamenti</t>
        </is>
      </c>
      <c r="C17" s="10">
        <f>Setup!C13</f>
        <v/>
      </c>
      <c r="D17" s="10" t="n">
        <v>0</v>
      </c>
      <c r="E17" s="10">
        <f>C17-D17</f>
        <v/>
      </c>
    </row>
    <row r="18">
      <c r="B18" s="9" t="inlineStr">
        <is>
          <t>Ristoranti/Bar</t>
        </is>
      </c>
      <c r="C18" s="10">
        <f>Setup!C14</f>
        <v/>
      </c>
      <c r="D18" s="10" t="n">
        <v>0</v>
      </c>
      <c r="E18" s="10">
        <f>C18-D18</f>
        <v/>
      </c>
    </row>
    <row r="19">
      <c r="B19" s="9" t="inlineStr">
        <is>
          <t>Shopping</t>
        </is>
      </c>
      <c r="C19" s="10">
        <f>Setup!C15</f>
        <v/>
      </c>
      <c r="D19" s="10" t="n">
        <v>0</v>
      </c>
      <c r="E19" s="10">
        <f>C19-D19</f>
        <v/>
      </c>
    </row>
    <row r="20">
      <c r="B20" s="9" t="inlineStr">
        <is>
          <t>Tempo libero</t>
        </is>
      </c>
      <c r="C20" s="10">
        <f>Setup!C16</f>
        <v/>
      </c>
      <c r="D20" s="10" t="n">
        <v>0</v>
      </c>
      <c r="E20" s="10">
        <f>C20-D20</f>
        <v/>
      </c>
    </row>
    <row r="21">
      <c r="B21" s="9" t="inlineStr">
        <is>
          <t>Risparmio/Investimenti</t>
        </is>
      </c>
      <c r="C21" s="10">
        <f>Setup!C17</f>
        <v/>
      </c>
      <c r="D21" s="10" t="n">
        <v>0</v>
      </c>
      <c r="E21" s="10">
        <f>C21-D21</f>
        <v/>
      </c>
    </row>
    <row r="22">
      <c r="B22" s="9" t="inlineStr">
        <is>
          <t>Altro</t>
        </is>
      </c>
      <c r="C22" s="10">
        <f>Setup!C18</f>
        <v/>
      </c>
      <c r="D22" s="10" t="n">
        <v>0</v>
      </c>
      <c r="E22" s="10">
        <f>C22-D22</f>
        <v/>
      </c>
    </row>
    <row r="23">
      <c r="B23" s="6" t="inlineStr">
        <is>
          <t>Totale spese</t>
        </is>
      </c>
      <c r="C23" s="18">
        <f>SUM(C11:C22)</f>
        <v/>
      </c>
      <c r="D23" s="18">
        <f>SUM(D11:D22)</f>
        <v/>
      </c>
      <c r="E23" s="18">
        <f>SUM(E11:E22)</f>
        <v/>
      </c>
    </row>
  </sheetData>
  <mergeCells count="2">
    <mergeCell ref="G4:H4"/>
    <mergeCell ref="B2:E2"/>
  </mergeCells>
  <conditionalFormatting sqref="E11:E22">
    <cfRule type="cellIs" priority="1" operator="lessThan" dxfId="0">
      <formula>0</formula>
    </cfRule>
    <cfRule type="cellIs" priority="2" operator="greaterThanOrEqual" dxfId="1">
      <formula>0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H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16" customWidth="1" min="3" max="3"/>
    <col width="16" customWidth="1" min="4" max="4"/>
    <col width="16" customWidth="1" min="5" max="5"/>
    <col width="4" customWidth="1" min="6" max="6"/>
    <col width="22" customWidth="1" min="7" max="7"/>
    <col width="16" customWidth="1" min="8" max="8"/>
  </cols>
  <sheetData>
    <row r="2">
      <c r="B2" s="5" t="inlineStr">
        <is>
          <t xml:space="preserve">  Dicembre</t>
        </is>
      </c>
    </row>
    <row r="4">
      <c r="B4" s="8" t="inlineStr">
        <is>
          <t>ENTRATE</t>
        </is>
      </c>
      <c r="C4" s="8" t="inlineStr">
        <is>
          <t>Pianificato</t>
        </is>
      </c>
      <c r="D4" s="8" t="inlineStr">
        <is>
          <t>Effettivo</t>
        </is>
      </c>
      <c r="G4" s="8" t="inlineStr">
        <is>
          <t>RIEPILOGO MESE</t>
        </is>
      </c>
      <c r="H4" s="13" t="n"/>
    </row>
    <row r="5">
      <c r="B5" s="9" t="inlineStr">
        <is>
          <t>Stipendio</t>
        </is>
      </c>
      <c r="C5" s="10" t="n">
        <v>0</v>
      </c>
      <c r="D5" s="10" t="n">
        <v>0</v>
      </c>
      <c r="G5" s="9" t="inlineStr">
        <is>
          <t>Entrate</t>
        </is>
      </c>
      <c r="H5" s="14">
        <f>D9</f>
        <v/>
      </c>
    </row>
    <row r="6">
      <c r="B6" s="9" t="inlineStr">
        <is>
          <t>Entrate extra</t>
        </is>
      </c>
      <c r="C6" s="10" t="n">
        <v>0</v>
      </c>
      <c r="D6" s="10" t="n">
        <v>0</v>
      </c>
      <c r="G6" s="9" t="inlineStr">
        <is>
          <t>Spese</t>
        </is>
      </c>
      <c r="H6" s="14">
        <f>D23</f>
        <v/>
      </c>
    </row>
    <row r="7">
      <c r="B7" s="9" t="inlineStr">
        <is>
          <t>Rimborsi</t>
        </is>
      </c>
      <c r="C7" s="10" t="n">
        <v>0</v>
      </c>
      <c r="D7" s="10" t="n">
        <v>0</v>
      </c>
      <c r="G7" s="15" t="inlineStr">
        <is>
          <t>Risparmio netto</t>
        </is>
      </c>
      <c r="H7" s="16">
        <f>D9-D23</f>
        <v/>
      </c>
    </row>
    <row r="8">
      <c r="B8" s="9" t="inlineStr">
        <is>
          <t>Altro</t>
        </is>
      </c>
      <c r="C8" s="10" t="n">
        <v>0</v>
      </c>
      <c r="D8" s="10" t="n">
        <v>0</v>
      </c>
      <c r="G8" s="15" t="inlineStr">
        <is>
          <t>Tasso di risparmio</t>
        </is>
      </c>
      <c r="H8" s="17">
        <f>IF(D9=0,0,(D9-D23)/D9)</f>
        <v/>
      </c>
    </row>
    <row r="9">
      <c r="B9" s="6" t="inlineStr">
        <is>
          <t>Totale entrate</t>
        </is>
      </c>
      <c r="C9" s="18">
        <f>SUM(C5:C8)</f>
        <v/>
      </c>
      <c r="D9" s="18">
        <f>SUM(D5:D8)</f>
        <v/>
      </c>
    </row>
    <row r="10">
      <c r="B10" s="8" t="inlineStr">
        <is>
          <t>SPESE</t>
        </is>
      </c>
      <c r="C10" s="8" t="inlineStr">
        <is>
          <t>Budget</t>
        </is>
      </c>
      <c r="D10" s="8" t="inlineStr">
        <is>
          <t>Speso</t>
        </is>
      </c>
      <c r="E10" s="8" t="inlineStr">
        <is>
          <t>Differenza</t>
        </is>
      </c>
    </row>
    <row r="11">
      <c r="B11" s="9" t="inlineStr">
        <is>
          <t>Affitto/Mutuo</t>
        </is>
      </c>
      <c r="C11" s="10">
        <f>Setup!C7</f>
        <v/>
      </c>
      <c r="D11" s="10" t="n">
        <v>0</v>
      </c>
      <c r="E11" s="10">
        <f>C11-D11</f>
        <v/>
      </c>
    </row>
    <row r="12">
      <c r="B12" s="9" t="inlineStr">
        <is>
          <t>Bollette</t>
        </is>
      </c>
      <c r="C12" s="10">
        <f>Setup!C8</f>
        <v/>
      </c>
      <c r="D12" s="10" t="n">
        <v>0</v>
      </c>
      <c r="E12" s="10">
        <f>C12-D12</f>
        <v/>
      </c>
    </row>
    <row r="13">
      <c r="B13" s="9" t="inlineStr">
        <is>
          <t>Spesa alimentare</t>
        </is>
      </c>
      <c r="C13" s="10">
        <f>Setup!C9</f>
        <v/>
      </c>
      <c r="D13" s="10" t="n">
        <v>0</v>
      </c>
      <c r="E13" s="10">
        <f>C13-D13</f>
        <v/>
      </c>
    </row>
    <row r="14">
      <c r="B14" s="9" t="inlineStr">
        <is>
          <t>Trasporti</t>
        </is>
      </c>
      <c r="C14" s="10">
        <f>Setup!C10</f>
        <v/>
      </c>
      <c r="D14" s="10" t="n">
        <v>0</v>
      </c>
      <c r="E14" s="10">
        <f>C14-D14</f>
        <v/>
      </c>
    </row>
    <row r="15">
      <c r="B15" s="9" t="inlineStr">
        <is>
          <t>Salute</t>
        </is>
      </c>
      <c r="C15" s="10">
        <f>Setup!C11</f>
        <v/>
      </c>
      <c r="D15" s="10" t="n">
        <v>0</v>
      </c>
      <c r="E15" s="10">
        <f>C15-D15</f>
        <v/>
      </c>
    </row>
    <row r="16">
      <c r="B16" s="9" t="inlineStr">
        <is>
          <t>Assicurazioni</t>
        </is>
      </c>
      <c r="C16" s="10">
        <f>Setup!C12</f>
        <v/>
      </c>
      <c r="D16" s="10" t="n">
        <v>0</v>
      </c>
      <c r="E16" s="10">
        <f>C16-D16</f>
        <v/>
      </c>
    </row>
    <row r="17">
      <c r="B17" s="9" t="inlineStr">
        <is>
          <t>Abbonamenti</t>
        </is>
      </c>
      <c r="C17" s="10">
        <f>Setup!C13</f>
        <v/>
      </c>
      <c r="D17" s="10" t="n">
        <v>0</v>
      </c>
      <c r="E17" s="10">
        <f>C17-D17</f>
        <v/>
      </c>
    </row>
    <row r="18">
      <c r="B18" s="9" t="inlineStr">
        <is>
          <t>Ristoranti/Bar</t>
        </is>
      </c>
      <c r="C18" s="10">
        <f>Setup!C14</f>
        <v/>
      </c>
      <c r="D18" s="10" t="n">
        <v>0</v>
      </c>
      <c r="E18" s="10">
        <f>C18-D18</f>
        <v/>
      </c>
    </row>
    <row r="19">
      <c r="B19" s="9" t="inlineStr">
        <is>
          <t>Shopping</t>
        </is>
      </c>
      <c r="C19" s="10">
        <f>Setup!C15</f>
        <v/>
      </c>
      <c r="D19" s="10" t="n">
        <v>0</v>
      </c>
      <c r="E19" s="10">
        <f>C19-D19</f>
        <v/>
      </c>
    </row>
    <row r="20">
      <c r="B20" s="9" t="inlineStr">
        <is>
          <t>Tempo libero</t>
        </is>
      </c>
      <c r="C20" s="10">
        <f>Setup!C16</f>
        <v/>
      </c>
      <c r="D20" s="10" t="n">
        <v>0</v>
      </c>
      <c r="E20" s="10">
        <f>C20-D20</f>
        <v/>
      </c>
    </row>
    <row r="21">
      <c r="B21" s="9" t="inlineStr">
        <is>
          <t>Risparmio/Investimenti</t>
        </is>
      </c>
      <c r="C21" s="10">
        <f>Setup!C17</f>
        <v/>
      </c>
      <c r="D21" s="10" t="n">
        <v>0</v>
      </c>
      <c r="E21" s="10">
        <f>C21-D21</f>
        <v/>
      </c>
    </row>
    <row r="22">
      <c r="B22" s="9" t="inlineStr">
        <is>
          <t>Altro</t>
        </is>
      </c>
      <c r="C22" s="10">
        <f>Setup!C18</f>
        <v/>
      </c>
      <c r="D22" s="10" t="n">
        <v>0</v>
      </c>
      <c r="E22" s="10">
        <f>C22-D22</f>
        <v/>
      </c>
    </row>
    <row r="23">
      <c r="B23" s="6" t="inlineStr">
        <is>
          <t>Totale spese</t>
        </is>
      </c>
      <c r="C23" s="18">
        <f>SUM(C11:C22)</f>
        <v/>
      </c>
      <c r="D23" s="18">
        <f>SUM(D11:D22)</f>
        <v/>
      </c>
      <c r="E23" s="18">
        <f>SUM(E11:E22)</f>
        <v/>
      </c>
    </row>
  </sheetData>
  <mergeCells count="2">
    <mergeCell ref="G4:H4"/>
    <mergeCell ref="B2:E2"/>
  </mergeCells>
  <conditionalFormatting sqref="E11:E22">
    <cfRule type="cellIs" priority="1" operator="lessThan" dxfId="0">
      <formula>0</formula>
    </cfRule>
    <cfRule type="cellIs" priority="2" operator="greaterThanOrEqual" dxfId="1">
      <formula>0</formula>
    </cfRule>
  </conditionalFormatting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F1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2">
      <c r="B2" s="5" t="inlineStr">
        <is>
          <t>🎯  Obiettivi di risparmio</t>
        </is>
      </c>
    </row>
    <row r="4">
      <c r="B4" s="8" t="inlineStr">
        <is>
          <t>Obiettivo</t>
        </is>
      </c>
      <c r="C4" s="8" t="inlineStr">
        <is>
          <t>Target (€)</t>
        </is>
      </c>
      <c r="D4" s="8" t="inlineStr">
        <is>
          <t>Risparmiato (€)</t>
        </is>
      </c>
      <c r="E4" s="8" t="inlineStr">
        <is>
          <t>Mancano (€)</t>
        </is>
      </c>
      <c r="F4" s="8" t="inlineStr">
        <is>
          <t>Completato</t>
        </is>
      </c>
    </row>
    <row r="5">
      <c r="B5" s="9" t="inlineStr">
        <is>
          <t>Fondo emergenza</t>
        </is>
      </c>
      <c r="C5" s="10" t="n">
        <v>0</v>
      </c>
      <c r="D5" s="10" t="n">
        <v>0</v>
      </c>
      <c r="E5" s="10">
        <f>MAX(0,C5-D5)</f>
        <v/>
      </c>
      <c r="F5" s="19">
        <f>IF(C5=0,0,D5/C5)</f>
        <v/>
      </c>
    </row>
    <row r="6">
      <c r="B6" s="9" t="inlineStr">
        <is>
          <t>Vacanza</t>
        </is>
      </c>
      <c r="C6" s="10" t="n">
        <v>0</v>
      </c>
      <c r="D6" s="10" t="n">
        <v>0</v>
      </c>
      <c r="E6" s="10">
        <f>MAX(0,C6-D6)</f>
        <v/>
      </c>
      <c r="F6" s="19">
        <f>IF(C6=0,0,D6/C6)</f>
        <v/>
      </c>
    </row>
    <row r="7">
      <c r="B7" s="9" t="inlineStr">
        <is>
          <t>Auto nuova</t>
        </is>
      </c>
      <c r="C7" s="10" t="n">
        <v>0</v>
      </c>
      <c r="D7" s="10" t="n">
        <v>0</v>
      </c>
      <c r="E7" s="10">
        <f>MAX(0,C7-D7)</f>
        <v/>
      </c>
      <c r="F7" s="19">
        <f>IF(C7=0,0,D7/C7)</f>
        <v/>
      </c>
    </row>
    <row r="8">
      <c r="B8" s="9" t="inlineStr">
        <is>
          <t>Anticipo casa</t>
        </is>
      </c>
      <c r="C8" s="10" t="n">
        <v>0</v>
      </c>
      <c r="D8" s="10" t="n">
        <v>0</v>
      </c>
      <c r="E8" s="10">
        <f>MAX(0,C8-D8)</f>
        <v/>
      </c>
      <c r="F8" s="19">
        <f>IF(C8=0,0,D8/C8)</f>
        <v/>
      </c>
    </row>
    <row r="9">
      <c r="B9" s="9" t="inlineStr"/>
      <c r="C9" s="10" t="n">
        <v>0</v>
      </c>
      <c r="D9" s="10" t="n">
        <v>0</v>
      </c>
      <c r="E9" s="10">
        <f>MAX(0,C9-D9)</f>
        <v/>
      </c>
      <c r="F9" s="19">
        <f>IF(C9=0,0,D9/C9)</f>
        <v/>
      </c>
    </row>
    <row r="10">
      <c r="B10" s="9" t="inlineStr"/>
      <c r="C10" s="10" t="n">
        <v>0</v>
      </c>
      <c r="D10" s="10" t="n">
        <v>0</v>
      </c>
      <c r="E10" s="10">
        <f>MAX(0,C10-D10)</f>
        <v/>
      </c>
      <c r="F10" s="19">
        <f>IF(C10=0,0,D10/C10)</f>
        <v/>
      </c>
    </row>
    <row r="11">
      <c r="B11" s="9" t="inlineStr"/>
      <c r="C11" s="10" t="n">
        <v>0</v>
      </c>
      <c r="D11" s="10" t="n">
        <v>0</v>
      </c>
      <c r="E11" s="10">
        <f>MAX(0,C11-D11)</f>
        <v/>
      </c>
      <c r="F11" s="19">
        <f>IF(C11=0,0,D11/C11)</f>
        <v/>
      </c>
    </row>
    <row r="12">
      <c r="B12" s="9" t="inlineStr"/>
      <c r="C12" s="10" t="n">
        <v>0</v>
      </c>
      <c r="D12" s="10" t="n">
        <v>0</v>
      </c>
      <c r="E12" s="10">
        <f>MAX(0,C12-D12)</f>
        <v/>
      </c>
      <c r="F12" s="19">
        <f>IF(C12=0,0,D12/C12)</f>
        <v/>
      </c>
    </row>
  </sheetData>
  <mergeCells count="1">
    <mergeCell ref="B2:F2"/>
  </mergeCells>
  <conditionalFormatting sqref="F5:F12">
    <cfRule type="dataBar" priority="1">
      <dataBar>
        <cfvo type="num" val="0"/>
        <cfvo type="num" val="1"/>
        <color rgb="001B7F5C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2026-06-20T02:40:32Z</dcterms:created>
  <dcterms:modified xsi:type="dcterms:W3CDTF">2026-06-20T02:40:32Z</dcterms:modified>
</cp:coreProperties>
</file>